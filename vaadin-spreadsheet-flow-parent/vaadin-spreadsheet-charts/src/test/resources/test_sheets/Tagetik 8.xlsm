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spreadsheetml.customProperty" PartName="/xl/customProperty1.bin"/>
  <Override ContentType="application/vnd.openxmlformats-officedocument.spreadsheetml.customProperty" PartName="/xl/customProperty2.bin"/>
  <Override ContentType="application/vnd.openxmlformats-officedocument.spreadsheetml.customProperty" PartName="/xl/customProperty3.bin"/>
  <Override ContentType="application/vnd.openxmlformats-officedocument.spreadsheetml.customProperty" PartName="/xl/customProperty4.bin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13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>
    <mc:Choice Requires="x15">
      <x15ac:absPath xmlns:x15ac="http://schemas.microsoft.com/office/spreadsheetml/2010/11/ac" url="C:\Users\alessiol\AppData\Local\Temp\"/>
    </mc:Choice>
  </mc:AlternateContent>
  <bookViews>
    <workbookView xWindow="128" yWindow="43" windowWidth="14357" windowHeight="10037" firstSheet="1" activeTab="1"/>
  </bookViews>
  <sheets>
    <sheet name="_TGK_HIDDEN" sheetId="4" state="veryHidden" r:id="rId1"/>
    <sheet name="PL" sheetId="7" r:id="rId2"/>
    <sheet name="BS" sheetId="10" r:id="rId3"/>
    <sheet name="CF" sheetId="12" r:id="rId4"/>
    <sheet name="Comp. Analysis" sheetId="9" r:id="rId5"/>
    <sheet name="_tgk_hidden_styles" r:id="rId11" sheetId="13" state="hidden"/>
  </sheets>
  <definedNames>
    <definedName name="_xlnm._FilterDatabase" localSheetId="2" hidden="1">BS!$H$5:$J$5</definedName>
    <definedName name="BOOK">PL!$B$1:$L$35</definedName>
    <definedName name="PLAN">'Comp. Analysis'!$B$4:$H$30</definedName>
  </definedNames>
  <calcPr calcId="152511"/>
</workbook>
</file>

<file path=xl/calcChain.xml><?xml version="1.0" encoding="utf-8"?>
<calcChain xmlns="http://schemas.openxmlformats.org/spreadsheetml/2006/main">
  <c r="AC14" i="7" l="1"/>
  <c r="AD14" i="7"/>
  <c r="AE14" i="7"/>
  <c r="AF14" i="7"/>
  <c r="AG14" i="7"/>
  <c r="AH14" i="7"/>
  <c r="AI14" i="7"/>
  <c r="AJ14" i="7"/>
  <c r="AK14" i="7"/>
  <c r="AL14" i="7"/>
  <c r="AM14" i="7"/>
  <c r="AN14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F7" i="7" l="1"/>
  <c r="G7" i="7"/>
  <c r="F8" i="7"/>
  <c r="G8" i="7"/>
  <c r="C9" i="7"/>
  <c r="D9" i="7"/>
  <c r="F9" i="7"/>
  <c r="G9" i="7"/>
  <c r="F10" i="7"/>
  <c r="G10" i="7"/>
  <c r="C11" i="7"/>
  <c r="D11" i="7"/>
  <c r="G11" i="7" s="1"/>
  <c r="F11" i="7"/>
  <c r="F12" i="7"/>
  <c r="G12" i="7"/>
  <c r="F13" i="7"/>
  <c r="G13" i="7"/>
  <c r="C14" i="7"/>
  <c r="D14" i="7"/>
  <c r="G14" i="7" s="1"/>
  <c r="F14" i="7"/>
  <c r="C15" i="7"/>
  <c r="D15" i="7"/>
  <c r="G15" i="7" s="1"/>
  <c r="F15" i="7"/>
  <c r="F16" i="7"/>
  <c r="G16" i="7"/>
  <c r="F17" i="7"/>
  <c r="G17" i="7"/>
  <c r="F18" i="7"/>
  <c r="G18" i="7"/>
  <c r="F19" i="7"/>
  <c r="G19" i="7"/>
  <c r="F20" i="7"/>
  <c r="G20" i="7"/>
  <c r="F21" i="7"/>
  <c r="G21" i="7"/>
  <c r="F22" i="7"/>
  <c r="G22" i="7"/>
  <c r="F23" i="7"/>
  <c r="G23" i="7"/>
  <c r="C24" i="7"/>
  <c r="D24" i="7"/>
  <c r="D25" i="7" s="1"/>
  <c r="F24" i="7"/>
  <c r="C25" i="7"/>
  <c r="F25" i="7"/>
  <c r="F26" i="7"/>
  <c r="G26" i="7"/>
  <c r="F27" i="7"/>
  <c r="G27" i="7"/>
  <c r="F28" i="7"/>
  <c r="G28" i="7"/>
  <c r="F29" i="7"/>
  <c r="G29" i="7"/>
  <c r="C30" i="7"/>
  <c r="F30" i="7"/>
  <c r="F31" i="7"/>
  <c r="G31" i="7"/>
  <c r="C32" i="7"/>
  <c r="F32" i="7"/>
  <c r="F33" i="7"/>
  <c r="G33" i="7"/>
  <c r="C34" i="7"/>
  <c r="F34" i="7"/>
  <c r="G25" i="7" l="1"/>
  <c r="D30" i="7"/>
  <c r="G24" i="7"/>
  <c r="G30" i="7" l="1"/>
  <c r="D32" i="7"/>
  <c r="G32" i="7" l="1"/>
  <c r="D34" i="7"/>
  <c r="G34" i="7" s="1"/>
  <c r="F8" i="12"/>
  <c r="G8" i="12"/>
  <c r="F9" i="12"/>
  <c r="G9" i="12"/>
  <c r="F10" i="12"/>
  <c r="G10" i="12"/>
  <c r="F11" i="12"/>
  <c r="G11" i="12"/>
  <c r="F12" i="12"/>
  <c r="G12" i="12"/>
  <c r="F13" i="12"/>
  <c r="G13" i="12"/>
  <c r="C14" i="12"/>
  <c r="D14" i="12"/>
  <c r="F14" i="12"/>
  <c r="G14" i="12"/>
  <c r="F15" i="12"/>
  <c r="G15" i="12"/>
  <c r="F16" i="12"/>
  <c r="G16" i="12"/>
  <c r="F17" i="12"/>
  <c r="G17" i="12"/>
  <c r="F18" i="12"/>
  <c r="G18" i="12"/>
  <c r="F19" i="12"/>
  <c r="G19" i="12"/>
  <c r="F20" i="12"/>
  <c r="G20" i="12"/>
  <c r="F21" i="12"/>
  <c r="G21" i="12"/>
  <c r="F22" i="12"/>
  <c r="G22" i="12"/>
  <c r="F23" i="12"/>
  <c r="G23" i="12"/>
  <c r="F24" i="12"/>
  <c r="G24" i="12"/>
  <c r="C25" i="12"/>
  <c r="D25" i="12"/>
  <c r="F25" i="12"/>
  <c r="G25" i="12"/>
  <c r="F26" i="12"/>
  <c r="G26" i="12"/>
  <c r="F27" i="12"/>
  <c r="F75" i="12" s="1"/>
  <c r="F76" i="12" s="1"/>
  <c r="G27" i="12"/>
  <c r="F28" i="12"/>
  <c r="G28" i="12"/>
  <c r="F29" i="12"/>
  <c r="G29" i="12"/>
  <c r="F30" i="12"/>
  <c r="G30" i="12"/>
  <c r="F31" i="12"/>
  <c r="G31" i="12"/>
  <c r="F32" i="12"/>
  <c r="G32" i="12"/>
  <c r="F33" i="12"/>
  <c r="G33" i="12"/>
  <c r="F34" i="12"/>
  <c r="G34" i="12"/>
  <c r="F35" i="12"/>
  <c r="G35" i="12"/>
  <c r="F36" i="12"/>
  <c r="G36" i="12"/>
  <c r="F37" i="12"/>
  <c r="G37" i="12"/>
  <c r="F38" i="12"/>
  <c r="G38" i="12"/>
  <c r="F39" i="12"/>
  <c r="G39" i="12"/>
  <c r="F40" i="12"/>
  <c r="G40" i="12"/>
  <c r="F41" i="12"/>
  <c r="G41" i="12"/>
  <c r="F42" i="12"/>
  <c r="G42" i="12"/>
  <c r="F43" i="12"/>
  <c r="G43" i="12"/>
  <c r="F44" i="12"/>
  <c r="G44" i="12"/>
  <c r="F45" i="12"/>
  <c r="G45" i="12"/>
  <c r="F46" i="12"/>
  <c r="G46" i="12"/>
  <c r="F47" i="12"/>
  <c r="G47" i="12"/>
  <c r="F48" i="12"/>
  <c r="G48" i="12"/>
  <c r="F49" i="12"/>
  <c r="G49" i="12"/>
  <c r="F50" i="12"/>
  <c r="G50" i="12"/>
  <c r="F51" i="12"/>
  <c r="G51" i="12"/>
  <c r="F52" i="12"/>
  <c r="G52" i="12"/>
  <c r="F53" i="12"/>
  <c r="G53" i="12"/>
  <c r="F54" i="12"/>
  <c r="G54" i="12"/>
  <c r="F55" i="12"/>
  <c r="G55" i="12"/>
  <c r="F56" i="12"/>
  <c r="G56" i="12"/>
  <c r="F57" i="12"/>
  <c r="G57" i="12"/>
  <c r="F58" i="12"/>
  <c r="G58" i="12"/>
  <c r="F59" i="12"/>
  <c r="G59" i="12"/>
  <c r="F60" i="12"/>
  <c r="G60" i="12"/>
  <c r="F61" i="12"/>
  <c r="G61" i="12"/>
  <c r="F62" i="12"/>
  <c r="G62" i="12"/>
  <c r="F63" i="12"/>
  <c r="G63" i="12"/>
  <c r="F64" i="12"/>
  <c r="G64" i="12"/>
  <c r="F65" i="12"/>
  <c r="G65" i="12"/>
  <c r="F66" i="12"/>
  <c r="G66" i="12"/>
  <c r="F67" i="12"/>
  <c r="G67" i="12"/>
  <c r="F68" i="12"/>
  <c r="G68" i="12"/>
  <c r="F69" i="12"/>
  <c r="G69" i="12"/>
  <c r="F70" i="12"/>
  <c r="G70" i="12"/>
  <c r="F71" i="12"/>
  <c r="G71" i="12"/>
  <c r="F72" i="12"/>
  <c r="G72" i="12"/>
  <c r="F73" i="12"/>
  <c r="G73" i="12"/>
  <c r="F74" i="12"/>
  <c r="G74" i="12"/>
  <c r="C75" i="12"/>
  <c r="C76" i="12" s="1"/>
  <c r="D75" i="12"/>
  <c r="D76" i="12" s="1"/>
  <c r="F77" i="12"/>
  <c r="G77" i="12"/>
  <c r="F78" i="12"/>
  <c r="G78" i="12"/>
  <c r="F79" i="12"/>
  <c r="F83" i="12" s="1"/>
  <c r="G79" i="12"/>
  <c r="F80" i="12"/>
  <c r="G80" i="12"/>
  <c r="F81" i="12"/>
  <c r="G81" i="12"/>
  <c r="F82" i="12"/>
  <c r="G82" i="12"/>
  <c r="C83" i="12"/>
  <c r="D83" i="12"/>
  <c r="G83" i="12" s="1"/>
  <c r="F85" i="12"/>
  <c r="G85" i="12"/>
  <c r="F86" i="12"/>
  <c r="G86" i="12"/>
  <c r="F87" i="12"/>
  <c r="G87" i="12"/>
  <c r="F88" i="12"/>
  <c r="G88" i="12"/>
  <c r="F89" i="12"/>
  <c r="G89" i="12"/>
  <c r="F90" i="12"/>
  <c r="G90" i="12"/>
  <c r="F91" i="12"/>
  <c r="G91" i="12"/>
  <c r="F92" i="12"/>
  <c r="G92" i="12"/>
  <c r="F93" i="12"/>
  <c r="G93" i="12"/>
  <c r="F94" i="12"/>
  <c r="G94" i="12"/>
  <c r="F95" i="12"/>
  <c r="G95" i="12"/>
  <c r="C96" i="12"/>
  <c r="D96" i="12"/>
  <c r="G96" i="12" s="1"/>
  <c r="B2" i="4"/>
  <c r="O72" i="12"/>
  <c r="C84" i="12" l="1"/>
  <c r="C97" i="12" s="1"/>
  <c r="F84" i="12"/>
  <c r="F96" i="12"/>
  <c r="G76" i="12"/>
  <c r="D84" i="12"/>
  <c r="G75" i="12"/>
  <c r="F97" i="12" l="1"/>
  <c r="D97" i="12"/>
  <c r="G97" i="12" s="1"/>
  <c r="G84" i="12"/>
  <c r="B5" i="4" l="1"/>
  <c r="H7" i="9" l="1"/>
  <c r="N7" i="9"/>
  <c r="T7" i="9" s="1"/>
  <c r="P7" i="9"/>
  <c r="Q7" i="9"/>
  <c r="R7" i="9"/>
  <c r="S7" i="9"/>
  <c r="H8" i="9"/>
  <c r="N8" i="9"/>
  <c r="N13" i="9" s="1"/>
  <c r="P8" i="9"/>
  <c r="Q8" i="9"/>
  <c r="R8" i="9"/>
  <c r="S8" i="9"/>
  <c r="S13" i="9" s="1"/>
  <c r="H9" i="9"/>
  <c r="N9" i="9"/>
  <c r="T9" i="9" s="1"/>
  <c r="P9" i="9"/>
  <c r="Q9" i="9"/>
  <c r="R9" i="9"/>
  <c r="S9" i="9"/>
  <c r="H10" i="9"/>
  <c r="T10" i="9" s="1"/>
  <c r="N10" i="9"/>
  <c r="P10" i="9"/>
  <c r="Q10" i="9"/>
  <c r="R10" i="9"/>
  <c r="S10" i="9"/>
  <c r="H11" i="9"/>
  <c r="N11" i="9"/>
  <c r="P11" i="9"/>
  <c r="Q11" i="9"/>
  <c r="R11" i="9"/>
  <c r="S11" i="9"/>
  <c r="H12" i="9"/>
  <c r="T12" i="9" s="1"/>
  <c r="N12" i="9"/>
  <c r="P12" i="9"/>
  <c r="Q12" i="9"/>
  <c r="R12" i="9"/>
  <c r="S12" i="9"/>
  <c r="D13" i="9"/>
  <c r="E13" i="9"/>
  <c r="F13" i="9"/>
  <c r="F31" i="9" s="1"/>
  <c r="G13" i="9"/>
  <c r="J13" i="9"/>
  <c r="K13" i="9"/>
  <c r="K31" i="9" s="1"/>
  <c r="L13" i="9"/>
  <c r="M13" i="9"/>
  <c r="H15" i="9"/>
  <c r="T15" i="9" s="1"/>
  <c r="N15" i="9"/>
  <c r="P15" i="9"/>
  <c r="Q15" i="9"/>
  <c r="R15" i="9"/>
  <c r="R21" i="9" s="1"/>
  <c r="S15" i="9"/>
  <c r="H16" i="9"/>
  <c r="N16" i="9"/>
  <c r="P16" i="9"/>
  <c r="Q16" i="9"/>
  <c r="R16" i="9"/>
  <c r="S16" i="9"/>
  <c r="H17" i="9"/>
  <c r="T17" i="9" s="1"/>
  <c r="N17" i="9"/>
  <c r="P17" i="9"/>
  <c r="Q17" i="9"/>
  <c r="R17" i="9"/>
  <c r="S17" i="9"/>
  <c r="H18" i="9"/>
  <c r="N18" i="9"/>
  <c r="T18" i="9" s="1"/>
  <c r="P18" i="9"/>
  <c r="Q18" i="9"/>
  <c r="R18" i="9"/>
  <c r="S18" i="9"/>
  <c r="S21" i="9" s="1"/>
  <c r="H19" i="9"/>
  <c r="N19" i="9"/>
  <c r="P19" i="9"/>
  <c r="Q19" i="9"/>
  <c r="R19" i="9"/>
  <c r="S19" i="9"/>
  <c r="T19" i="9"/>
  <c r="H20" i="9"/>
  <c r="T20" i="9" s="1"/>
  <c r="N20" i="9"/>
  <c r="P20" i="9"/>
  <c r="Q20" i="9"/>
  <c r="R20" i="9"/>
  <c r="S20" i="9"/>
  <c r="D21" i="9"/>
  <c r="E21" i="9"/>
  <c r="F21" i="9"/>
  <c r="G21" i="9"/>
  <c r="J21" i="9"/>
  <c r="K21" i="9"/>
  <c r="L21" i="9"/>
  <c r="M21" i="9"/>
  <c r="H23" i="9"/>
  <c r="N23" i="9"/>
  <c r="P23" i="9"/>
  <c r="Q23" i="9"/>
  <c r="R23" i="9"/>
  <c r="S23" i="9"/>
  <c r="H24" i="9"/>
  <c r="N24" i="9"/>
  <c r="P24" i="9"/>
  <c r="P29" i="9" s="1"/>
  <c r="Q24" i="9"/>
  <c r="R24" i="9"/>
  <c r="S24" i="9"/>
  <c r="T24" i="9"/>
  <c r="H25" i="9"/>
  <c r="N25" i="9"/>
  <c r="P25" i="9"/>
  <c r="Q25" i="9"/>
  <c r="R25" i="9"/>
  <c r="S25" i="9"/>
  <c r="H26" i="9"/>
  <c r="N26" i="9"/>
  <c r="P26" i="9"/>
  <c r="Q26" i="9"/>
  <c r="R26" i="9"/>
  <c r="S26" i="9"/>
  <c r="H27" i="9"/>
  <c r="N27" i="9"/>
  <c r="P27" i="9"/>
  <c r="Q27" i="9"/>
  <c r="R27" i="9"/>
  <c r="S27" i="9"/>
  <c r="H28" i="9"/>
  <c r="N28" i="9"/>
  <c r="P28" i="9"/>
  <c r="Q28" i="9"/>
  <c r="R28" i="9"/>
  <c r="S28" i="9"/>
  <c r="D29" i="9"/>
  <c r="D31" i="9" s="1"/>
  <c r="E29" i="9"/>
  <c r="F29" i="9"/>
  <c r="G29" i="9"/>
  <c r="G31" i="9" s="1"/>
  <c r="J29" i="9"/>
  <c r="K29" i="9"/>
  <c r="L29" i="9"/>
  <c r="M29" i="9"/>
  <c r="M31" i="9" s="1"/>
  <c r="L31" i="9" l="1"/>
  <c r="T28" i="9"/>
  <c r="T8" i="9"/>
  <c r="T27" i="9"/>
  <c r="H21" i="9"/>
  <c r="Q21" i="9"/>
  <c r="P21" i="9"/>
  <c r="P31" i="9" s="1"/>
  <c r="T11" i="9"/>
  <c r="Q29" i="9"/>
  <c r="Q13" i="9"/>
  <c r="T16" i="9"/>
  <c r="R13" i="9"/>
  <c r="R31" i="9" s="1"/>
  <c r="P13" i="9"/>
  <c r="Q31" i="9"/>
  <c r="R29" i="9"/>
  <c r="H29" i="9"/>
  <c r="E31" i="9"/>
  <c r="J31" i="9"/>
  <c r="T25" i="9"/>
  <c r="S29" i="9"/>
  <c r="S31" i="9" s="1"/>
  <c r="T23" i="9"/>
  <c r="T21" i="9"/>
  <c r="T13" i="9"/>
  <c r="H13" i="9"/>
  <c r="N29" i="9"/>
  <c r="T26" i="9"/>
  <c r="N21" i="9"/>
  <c r="T29" i="9" l="1"/>
  <c r="H31" i="9"/>
  <c r="N31" i="9"/>
  <c r="T31" i="9"/>
  <c r="G1" i="7" l="1"/>
  <c r="H1" i="7" s="1"/>
  <c r="J4" i="9" l="1"/>
  <c r="D4" i="9"/>
  <c r="B4" i="4" l="1"/>
  <c r="B1" i="4" l="1"/>
</calcChain>
</file>

<file path=xl/sharedStrings.xml><?xml version="1.0" encoding="utf-8"?>
<sst xmlns="http://schemas.openxmlformats.org/spreadsheetml/2006/main" count="752" uniqueCount="447">
  <si>
    <t>Template00</t>
  </si>
  <si>
    <t>Cell Phone Expenses</t>
  </si>
  <si>
    <t>Workers Comp</t>
  </si>
  <si>
    <t>FUTA</t>
  </si>
  <si>
    <t>Bonus</t>
  </si>
  <si>
    <t>Benefits</t>
  </si>
  <si>
    <t>Medical Insurance</t>
  </si>
  <si>
    <t>FICA</t>
  </si>
  <si>
    <t>SUTA</t>
  </si>
  <si>
    <t>Life Insurance</t>
  </si>
  <si>
    <t>Auto Allowances</t>
  </si>
  <si>
    <t>Auto Repair/Maintenance</t>
  </si>
  <si>
    <t>Auto Insurance</t>
  </si>
  <si>
    <t>Auto Fuel</t>
  </si>
  <si>
    <t>Auto Lease</t>
  </si>
  <si>
    <t>Tax</t>
  </si>
  <si>
    <t>Template01</t>
  </si>
  <si>
    <t>Net Result</t>
  </si>
  <si>
    <t>Minorities result</t>
  </si>
  <si>
    <t>Group net result</t>
  </si>
  <si>
    <t>Scenario  Parametrico Budget</t>
  </si>
  <si>
    <t xml:space="preserve">CONCATENATE("Run by ",user.desc," on ",report.runDate)
</t>
  </si>
  <si>
    <t>Mar</t>
  </si>
  <si>
    <t>Balance Sheet</t>
  </si>
  <si>
    <t>Cost of Purchase</t>
  </si>
  <si>
    <t>Sales Discounts</t>
  </si>
  <si>
    <t>Advertising and Promotions</t>
  </si>
  <si>
    <t>Total direct costs</t>
  </si>
  <si>
    <t>Salary and Wages</t>
  </si>
  <si>
    <t>Payroll Benefits and Taxes</t>
  </si>
  <si>
    <t>Insurance</t>
  </si>
  <si>
    <t>Energy</t>
  </si>
  <si>
    <t>Distribution Costs &amp; Other G&amp;A Expenses</t>
  </si>
  <si>
    <t>Depreciation</t>
  </si>
  <si>
    <t>Provision for fund</t>
  </si>
  <si>
    <t>Cost Charge Back</t>
  </si>
  <si>
    <t>Extraordinary income and expenses</t>
  </si>
  <si>
    <t>Dividends</t>
  </si>
  <si>
    <t>Termination Indemnities</t>
  </si>
  <si>
    <t>Total</t>
  </si>
  <si>
    <t>Budget Scenario</t>
  </si>
  <si>
    <t>Main Bank Account- Initial Balance</t>
  </si>
  <si>
    <t>Group Main Bank Initial Balance</t>
  </si>
  <si>
    <t>Credit Banks  - Initial Balance</t>
  </si>
  <si>
    <t>Group Credit Banks  - Initial Balance</t>
  </si>
  <si>
    <t>Debit Banks - Initial Balance</t>
  </si>
  <si>
    <t>Group Debit Banks - Initial Balance</t>
  </si>
  <si>
    <t>Initial Balance</t>
  </si>
  <si>
    <t>Accounts Trade Receivable - Variations</t>
  </si>
  <si>
    <t>Outstanding Trade Receivables-Variations</t>
  </si>
  <si>
    <t>Accounts Receivable for tax advances - Variations</t>
  </si>
  <si>
    <t>Short Term Financial Credits- Variations</t>
  </si>
  <si>
    <t>Other Securities- Variations</t>
  </si>
  <si>
    <t>Product Revenues</t>
  </si>
  <si>
    <t>Other Revenues</t>
  </si>
  <si>
    <t>Financial Income</t>
  </si>
  <si>
    <t>IC Financial Incomes</t>
  </si>
  <si>
    <t>Cash in</t>
  </si>
  <si>
    <t>Commercial Accounts Payable - Variations</t>
  </si>
  <si>
    <t>Employees Liabilities-Variation</t>
  </si>
  <si>
    <t>VAT Payable -Variations</t>
  </si>
  <si>
    <t>Group VAT Credit / Debt-Variation</t>
  </si>
  <si>
    <t>Tax Liabilities-Variations</t>
  </si>
  <si>
    <t>Reserves For Risks- Use</t>
  </si>
  <si>
    <t>Termination indemnities-Use</t>
  </si>
  <si>
    <t>Other Reserves-Dividends</t>
  </si>
  <si>
    <t>Long term Financial Liabilities versus Banks -Variations</t>
  </si>
  <si>
    <t>Long term Financial Liabilities versus others-Variations</t>
  </si>
  <si>
    <t>Short Term Financial Liabilities  -Variations</t>
  </si>
  <si>
    <t>Cost of Good Sold</t>
  </si>
  <si>
    <t>Sales Deduction</t>
  </si>
  <si>
    <t>Wages and salaries</t>
  </si>
  <si>
    <t>Contributions</t>
  </si>
  <si>
    <t>Dental</t>
  </si>
  <si>
    <t>Cafeteria</t>
  </si>
  <si>
    <t>Taxes</t>
  </si>
  <si>
    <t>Utilities</t>
  </si>
  <si>
    <t>Rent</t>
  </si>
  <si>
    <t>Financial Expenses</t>
  </si>
  <si>
    <t>IC Financial Expenses</t>
  </si>
  <si>
    <t>Long Period Financial Expenses</t>
  </si>
  <si>
    <t>Interest income/loss frrom hedging on interest rate</t>
  </si>
  <si>
    <t>Net income (Loss) on exchange</t>
  </si>
  <si>
    <t>Cash out</t>
  </si>
  <si>
    <t>Intangible Assets - Investment</t>
  </si>
  <si>
    <t>Tangible Assets - Investment</t>
  </si>
  <si>
    <t xml:space="preserve">Long-term Investments - Variations </t>
  </si>
  <si>
    <t>Financial Investments-Variations: Acquisitions</t>
  </si>
  <si>
    <t>Equity Financial Investment: Other variations</t>
  </si>
  <si>
    <t>Current Financial Investments- other variations</t>
  </si>
  <si>
    <t>Investment</t>
  </si>
  <si>
    <t>Intangible Assets - Disinvestment</t>
  </si>
  <si>
    <t>Tangible Assets - Disinvestment</t>
  </si>
  <si>
    <t xml:space="preserve">Other Assets/Liabilities </t>
  </si>
  <si>
    <t>Other Assets/Liabilities  Equity- Variations</t>
  </si>
  <si>
    <t>Other assets / liabilities - IC adjustments</t>
  </si>
  <si>
    <t>Share Capital: Flow-Variation</t>
  </si>
  <si>
    <t>Retained net result -Dividends</t>
  </si>
  <si>
    <t>Capital Gain Asset Sales</t>
  </si>
  <si>
    <t>Capital loss Asset Sales</t>
  </si>
  <si>
    <t>Financial Investment devaluations</t>
  </si>
  <si>
    <t>Budget Scenario (ref3)</t>
  </si>
  <si>
    <t>Template03</t>
  </si>
  <si>
    <t>June</t>
  </si>
  <si>
    <t>Sept</t>
  </si>
  <si>
    <t>Dec</t>
  </si>
  <si>
    <t>Existing EEs</t>
  </si>
  <si>
    <t>Sales &amp; Mkt</t>
  </si>
  <si>
    <t>FP&amp;A</t>
  </si>
  <si>
    <t>IT Services</t>
  </si>
  <si>
    <t>Supply &amp; Planning</t>
  </si>
  <si>
    <t>CRM</t>
  </si>
  <si>
    <t>General Services</t>
  </si>
  <si>
    <t>Total Existing</t>
  </si>
  <si>
    <t>New Hires</t>
  </si>
  <si>
    <t>Total New Hires</t>
  </si>
  <si>
    <t>TOTAL EMPLOYEES</t>
  </si>
  <si>
    <t>Compensation Analysis</t>
  </si>
  <si>
    <t>Advertising &amp; Promos</t>
  </si>
  <si>
    <t>CONCATENATE("Run by ",user.desc," on ",report.runDate)</t>
  </si>
  <si>
    <t>$ Variance</t>
  </si>
  <si>
    <t>% Variance</t>
  </si>
  <si>
    <t>% Exp./Rev.</t>
  </si>
  <si>
    <t>Positions</t>
  </si>
  <si>
    <t>Total New Positions</t>
  </si>
  <si>
    <t>Variance</t>
  </si>
  <si>
    <t>Cash Flow</t>
  </si>
  <si>
    <t>CY</t>
  </si>
  <si>
    <t>PY</t>
  </si>
  <si>
    <t>Transactional Data</t>
  </si>
  <si>
    <t>025</t>
  </si>
  <si>
    <t>Balance Sheet LGAAP (DE Form)</t>
  </si>
  <si>
    <t>DESCRIPTION</t>
  </si>
  <si>
    <t>AMOUNT</t>
  </si>
  <si>
    <t>Template04</t>
  </si>
  <si>
    <t>GL_ACCOUNT</t>
  </si>
  <si>
    <t>Regional View Entity Selection</t>
  </si>
  <si>
    <t>Shipping Expenses</t>
  </si>
  <si>
    <t>Packaging Expenses</t>
  </si>
  <si>
    <t>Intangible Assets AD- Investments</t>
  </si>
  <si>
    <t>Tangible Assets BS Depr.- Investments</t>
  </si>
  <si>
    <t>IT costs</t>
  </si>
  <si>
    <t>Int. Assets Amortization</t>
  </si>
  <si>
    <t>Sales Revenue</t>
  </si>
  <si>
    <t>Other  Revenue</t>
  </si>
  <si>
    <t>Total Gross Sales</t>
  </si>
  <si>
    <t>Total Net Sales</t>
  </si>
  <si>
    <t>Gross Margin</t>
  </si>
  <si>
    <t>Total operating costs</t>
  </si>
  <si>
    <t>Net Margin</t>
  </si>
  <si>
    <t>Extraordinary income and expense</t>
  </si>
  <si>
    <t>Other Gains &amp; Losses</t>
  </si>
  <si>
    <t>Financial income and expense</t>
  </si>
  <si>
    <t>Result before taxes</t>
  </si>
  <si>
    <t>Net Cash used/generated</t>
  </si>
  <si>
    <t>Operating Surplus/Deficit</t>
  </si>
  <si>
    <t>Other Uses/Sources of Cash</t>
  </si>
  <si>
    <t>Ending Balance</t>
  </si>
  <si>
    <t>Jan</t>
  </si>
  <si>
    <t>Feb</t>
  </si>
  <si>
    <t>Apr</t>
  </si>
  <si>
    <t>May</t>
  </si>
  <si>
    <t>Jul</t>
  </si>
  <si>
    <t>Aug</t>
  </si>
  <si>
    <t>Oct</t>
  </si>
  <si>
    <t>Nov</t>
  </si>
  <si>
    <t xml:space="preserve"> </t>
  </si>
  <si>
    <t>Profit &amp; Loss</t>
  </si>
  <si>
    <t>Total_head</t>
  </si>
  <si>
    <t>Subtotal head row fill</t>
  </si>
  <si>
    <t>%0.0</t>
  </si>
  <si>
    <t>20% - Accent1</t>
  </si>
  <si>
    <t>20% - Accent2</t>
  </si>
  <si>
    <t>20% - Accent3</t>
  </si>
  <si>
    <t>20% - Accent4</t>
  </si>
  <si>
    <t>20% - Accent5</t>
  </si>
  <si>
    <t>Amounts w/ 2 Decimals</t>
  </si>
  <si>
    <t>Webdings14</t>
  </si>
  <si>
    <t>R_head_font</t>
  </si>
  <si>
    <t>Date</t>
  </si>
  <si>
    <t>Font 11 Tahoma</t>
  </si>
  <si>
    <t>Percent</t>
  </si>
  <si>
    <t>Subtotal_Head_C</t>
  </si>
  <si>
    <t>Currency</t>
  </si>
  <si>
    <t>Amounts-1000</t>
  </si>
  <si>
    <t>Placeholder_Header</t>
  </si>
  <si>
    <t>Neutral</t>
  </si>
  <si>
    <t>Total_amounts</t>
  </si>
  <si>
    <t>Subtotal Amounts row fill</t>
  </si>
  <si>
    <t>20% - Accent6</t>
  </si>
  <si>
    <t>Comma [0]</t>
  </si>
  <si>
    <t>Placeholder Header Underlined bold</t>
  </si>
  <si>
    <t>R_formula</t>
  </si>
  <si>
    <t>Explanatory Text</t>
  </si>
  <si>
    <t>Total_Headers_Margin</t>
  </si>
  <si>
    <t>Good</t>
  </si>
  <si>
    <t>ACT</t>
  </si>
  <si>
    <t>R_AREA_FONT_UC</t>
  </si>
  <si>
    <t>Currency [0]</t>
  </si>
  <si>
    <t>40% - Accent3</t>
  </si>
  <si>
    <t>40% - Accent2</t>
  </si>
  <si>
    <t>40% - Accent1</t>
  </si>
  <si>
    <t>Data(USA)</t>
  </si>
  <si>
    <t>BDG</t>
  </si>
  <si>
    <t>Font 11 Tahoma bold</t>
  </si>
  <si>
    <t>Amounts_Board</t>
  </si>
  <si>
    <t>Work new book placeholder header underlined</t>
  </si>
  <si>
    <t>Normal</t>
  </si>
  <si>
    <t>Hyperlink for amounts</t>
  </si>
  <si>
    <t>Input</t>
  </si>
  <si>
    <t>Formula</t>
  </si>
  <si>
    <t>Note</t>
  </si>
  <si>
    <t>Webdings</t>
  </si>
  <si>
    <t>Linked Cell</t>
  </si>
  <si>
    <t>Title</t>
  </si>
  <si>
    <t>TGK_TOC_TEMPLATE_ROW</t>
  </si>
  <si>
    <t>40% - Accent4</t>
  </si>
  <si>
    <t>40% - Accent5</t>
  </si>
  <si>
    <t>40% - Accent6</t>
  </si>
  <si>
    <t>Fill light blue</t>
  </si>
  <si>
    <t>Blank_Row</t>
  </si>
  <si>
    <t>TGK_TOC_REPORT_ROW</t>
  </si>
  <si>
    <t>Head_left</t>
  </si>
  <si>
    <t>Output</t>
  </si>
  <si>
    <t>Check Cell</t>
  </si>
  <si>
    <t>Hyperlnk row header underlined bold</t>
  </si>
  <si>
    <t>Accent6</t>
  </si>
  <si>
    <t>Total_Amounts_C</t>
  </si>
  <si>
    <t>Accent5</t>
  </si>
  <si>
    <t>Accent4</t>
  </si>
  <si>
    <t>Total_Head_C</t>
  </si>
  <si>
    <t>Calculation</t>
  </si>
  <si>
    <t>Accent3</t>
  </si>
  <si>
    <t>Accent2</t>
  </si>
  <si>
    <t>Accent1</t>
  </si>
  <si>
    <t>C_Head</t>
  </si>
  <si>
    <t>Alighment Left</t>
  </si>
  <si>
    <t>%0.</t>
  </si>
  <si>
    <t>Middle Headers Centered</t>
  </si>
  <si>
    <t>Subtotal_amounts</t>
  </si>
  <si>
    <t>Webdings1</t>
  </si>
  <si>
    <t>Alignment H&amp;V center</t>
  </si>
  <si>
    <t>60% - Accent4</t>
  </si>
  <si>
    <t>60% - Accent5</t>
  </si>
  <si>
    <t>Visual Check</t>
  </si>
  <si>
    <t>60% - Accent2</t>
  </si>
  <si>
    <t>60% - Accent3</t>
  </si>
  <si>
    <t>Bad</t>
  </si>
  <si>
    <t>R_Area_font</t>
  </si>
  <si>
    <t>60% - Accent6</t>
  </si>
  <si>
    <t>%0.00</t>
  </si>
  <si>
    <t>Placeholder_column_blank</t>
  </si>
  <si>
    <t>Warning Text</t>
  </si>
  <si>
    <t>FST description blank</t>
  </si>
  <si>
    <t>Placeholder</t>
  </si>
  <si>
    <t>Bold+Italic</t>
  </si>
  <si>
    <t>TGK_TOC_PAGE_COLUMN</t>
  </si>
  <si>
    <t>Alighment Center</t>
  </si>
  <si>
    <t>Amounts left nolocked</t>
  </si>
  <si>
    <t>Amounts_right_nolocked</t>
  </si>
  <si>
    <t>Heading 1</t>
  </si>
  <si>
    <t>Total_Amounts_Margin</t>
  </si>
  <si>
    <t>Bold</t>
  </si>
  <si>
    <t>Heading 4</t>
  </si>
  <si>
    <t>Status Check</t>
  </si>
  <si>
    <t>60% - Accent1</t>
  </si>
  <si>
    <t>Heading 3</t>
  </si>
  <si>
    <t>Heading 2</t>
  </si>
  <si>
    <t>Comma</t>
  </si>
  <si>
    <t>Subtotal_head</t>
  </si>
  <si>
    <t>C_Amount_ACT</t>
  </si>
  <si>
    <t>C00 - Corporate USA</t>
  </si>
  <si>
    <t>2017BDG - 2017 Budget</t>
  </si>
  <si>
    <t>2017 Budget</t>
  </si>
  <si>
    <t>2017 Budget - Version 1</t>
  </si>
  <si>
    <t/>
  </si>
  <si>
    <t>Q1</t>
  </si>
  <si>
    <t>Q2</t>
  </si>
  <si>
    <t>Q4</t>
  </si>
  <si>
    <t>Q3</t>
  </si>
  <si>
    <t>10120-SDT</t>
  </si>
  <si>
    <t>Accounts trade payable</t>
  </si>
  <si>
    <t>Financial position</t>
  </si>
  <si>
    <t>025|10250</t>
  </si>
  <si>
    <t>10130</t>
  </si>
  <si>
    <t>Inventories</t>
  </si>
  <si>
    <t>025|10070</t>
  </si>
  <si>
    <t>Deferred Taxes Fund</t>
  </si>
  <si>
    <t>10121</t>
  </si>
  <si>
    <t>025|10240</t>
  </si>
  <si>
    <t>10040</t>
  </si>
  <si>
    <t>025|10370</t>
  </si>
  <si>
    <t>025|10340</t>
  </si>
  <si>
    <t>10050</t>
  </si>
  <si>
    <t>Short Term Financial Credits</t>
  </si>
  <si>
    <t>025|10080</t>
  </si>
  <si>
    <t>025|10040</t>
  </si>
  <si>
    <t>Short term financial position</t>
  </si>
  <si>
    <t>10110</t>
  </si>
  <si>
    <t>10510</t>
  </si>
  <si>
    <t>Actual Resources</t>
  </si>
  <si>
    <t>Debit Banks</t>
  </si>
  <si>
    <t>Tax Liabilities</t>
  </si>
  <si>
    <t>Reserves For risks</t>
  </si>
  <si>
    <t>Long-term Investment</t>
  </si>
  <si>
    <t>Tax Payable</t>
  </si>
  <si>
    <t>Current Financial Investments</t>
  </si>
  <si>
    <t>VAT Payable</t>
  </si>
  <si>
    <t>025|10230</t>
  </si>
  <si>
    <t>Long term Financial Liabilities versus others</t>
  </si>
  <si>
    <t>025|10030</t>
  </si>
  <si>
    <t>10550</t>
  </si>
  <si>
    <t>025|10210</t>
  </si>
  <si>
    <t>Main Bank Account</t>
  </si>
  <si>
    <t>20140</t>
  </si>
  <si>
    <t>Check</t>
  </si>
  <si>
    <t>Reserve for Credit Devaluation</t>
  </si>
  <si>
    <t>Pending Trade Receivables</t>
  </si>
  <si>
    <t>025|10320</t>
  </si>
  <si>
    <t>Financial Investments: Devaluation Fund</t>
  </si>
  <si>
    <t>Current Financial Investments: devaluation Fund</t>
  </si>
  <si>
    <t>Retained net result</t>
  </si>
  <si>
    <t>025|10100</t>
  </si>
  <si>
    <t>025|10110</t>
  </si>
  <si>
    <t>Tangible Assets</t>
  </si>
  <si>
    <t>20129</t>
  </si>
  <si>
    <t>025|10380</t>
  </si>
  <si>
    <t>Accruals for Invoices to Issue</t>
  </si>
  <si>
    <t>20110</t>
  </si>
  <si>
    <t>Other reserves</t>
  </si>
  <si>
    <t>Accounts Trade Receivable</t>
  </si>
  <si>
    <t>Net working capital</t>
  </si>
  <si>
    <t>Adjusted Net Invested Capital</t>
  </si>
  <si>
    <t>10060</t>
  </si>
  <si>
    <t>20125</t>
  </si>
  <si>
    <t>10120-SDR</t>
  </si>
  <si>
    <t>Exchange Rate Difference Reserve</t>
  </si>
  <si>
    <t>025|10150</t>
  </si>
  <si>
    <t>20330</t>
  </si>
  <si>
    <t>Other Reserves</t>
  </si>
  <si>
    <t>Group VAT Credit/ Debt</t>
  </si>
  <si>
    <t>025|10060</t>
  </si>
  <si>
    <t>025|10200</t>
  </si>
  <si>
    <t>Tangible Assets AD</t>
  </si>
  <si>
    <t>025|10330</t>
  </si>
  <si>
    <t>Long term financial debts versus others</t>
  </si>
  <si>
    <t>21150</t>
  </si>
  <si>
    <t>10125</t>
  </si>
  <si>
    <t>10010</t>
  </si>
  <si>
    <t>Accounts receivable for tax advances</t>
  </si>
  <si>
    <t>20350</t>
  </si>
  <si>
    <t>10525</t>
  </si>
  <si>
    <t>Capital Share</t>
  </si>
  <si>
    <t>Banks</t>
  </si>
  <si>
    <t>025|10170</t>
  </si>
  <si>
    <t>Group Main Bank</t>
  </si>
  <si>
    <t>IVA IC VALUTA Yen</t>
  </si>
  <si>
    <t>10535</t>
  </si>
  <si>
    <t>10520</t>
  </si>
  <si>
    <t>Expired Trade Receivables</t>
  </si>
  <si>
    <t>Year Result</t>
  </si>
  <si>
    <t>IVA IC VALUTA USD</t>
  </si>
  <si>
    <t>20127</t>
  </si>
  <si>
    <t>Transitory account (VAT)</t>
  </si>
  <si>
    <t>20130</t>
  </si>
  <si>
    <t>20200</t>
  </si>
  <si>
    <t>025|10190</t>
  </si>
  <si>
    <t xml:space="preserve">Group Credit Banks </t>
  </si>
  <si>
    <t>Exchange rate difference reserves</t>
  </si>
  <si>
    <t>21110</t>
  </si>
  <si>
    <t>Termination indemnities</t>
  </si>
  <si>
    <t>10530</t>
  </si>
  <si>
    <t>Reserves For Risks</t>
  </si>
  <si>
    <t>025|10260</t>
  </si>
  <si>
    <t>Financial Investments</t>
  </si>
  <si>
    <t>Accounts trade receivable</t>
  </si>
  <si>
    <t>025|10050</t>
  </si>
  <si>
    <t>025|10220</t>
  </si>
  <si>
    <t>Credit Banks</t>
  </si>
  <si>
    <t>Outstanding Trade Receivables</t>
  </si>
  <si>
    <t>20220</t>
  </si>
  <si>
    <t>10030</t>
  </si>
  <si>
    <t xml:space="preserve">Short Term Financial Liabilities </t>
  </si>
  <si>
    <t>20420</t>
  </si>
  <si>
    <t>Long term investments</t>
  </si>
  <si>
    <t xml:space="preserve">Equity Financial Investments </t>
  </si>
  <si>
    <t>025|10140</t>
  </si>
  <si>
    <t>20510</t>
  </si>
  <si>
    <t>025|10120</t>
  </si>
  <si>
    <t>10135</t>
  </si>
  <si>
    <t>20210</t>
  </si>
  <si>
    <t>20525</t>
  </si>
  <si>
    <t>025|10015</t>
  </si>
  <si>
    <t>025|10350</t>
  </si>
  <si>
    <t>Group Debit Banks</t>
  </si>
  <si>
    <t>Employees Liabilities</t>
  </si>
  <si>
    <t>20030</t>
  </si>
  <si>
    <t>025|10360</t>
  </si>
  <si>
    <t>TVA</t>
  </si>
  <si>
    <t>20115</t>
  </si>
  <si>
    <t>20120</t>
  </si>
  <si>
    <t>BS Minorities Result</t>
  </si>
  <si>
    <t>025|10090</t>
  </si>
  <si>
    <t>Intangible assets</t>
  </si>
  <si>
    <t>Long term Financial Liabilities versus Banks</t>
  </si>
  <si>
    <t xml:space="preserve">Short term Financial credit </t>
  </si>
  <si>
    <t>20310</t>
  </si>
  <si>
    <t>20530</t>
  </si>
  <si>
    <t>Intangible Assets AD</t>
  </si>
  <si>
    <t>Share Capital</t>
  </si>
  <si>
    <t>Commercial Accounts Payable</t>
  </si>
  <si>
    <t>20520</t>
  </si>
  <si>
    <t>20370</t>
  </si>
  <si>
    <t>Short term financial debts versus others</t>
  </si>
  <si>
    <t xml:space="preserve">Accounts Receivable for tax advances </t>
  </si>
  <si>
    <t>Long Term financial Borrowing</t>
  </si>
  <si>
    <t>L/T Prepayments</t>
  </si>
  <si>
    <t>10120</t>
  </si>
  <si>
    <t>20340</t>
  </si>
  <si>
    <t>025|10160</t>
  </si>
  <si>
    <t>20410</t>
  </si>
  <si>
    <t>20205</t>
  </si>
  <si>
    <t>20320</t>
  </si>
  <si>
    <t>Other activities/liabilities</t>
  </si>
  <si>
    <t>10020</t>
  </si>
  <si>
    <t>025|10180</t>
  </si>
  <si>
    <t>025|10270</t>
  </si>
  <si>
    <t>Minorities reserve</t>
  </si>
  <si>
    <t>Total Assets</t>
  </si>
  <si>
    <t>Tangible assets</t>
  </si>
  <si>
    <t>Other securities</t>
  </si>
  <si>
    <t>20360</t>
  </si>
  <si>
    <t>Accrued Month End Compensation</t>
  </si>
  <si>
    <t>20425</t>
  </si>
  <si>
    <t>BS Year Result</t>
  </si>
  <si>
    <t>20020</t>
  </si>
  <si>
    <t>Goodwill</t>
  </si>
  <si>
    <t>025|10025</t>
  </si>
  <si>
    <t>20010</t>
  </si>
  <si>
    <t>Invested Capital</t>
  </si>
  <si>
    <t>Intangible Assets</t>
  </si>
  <si>
    <t>Other Securities</t>
  </si>
  <si>
    <t>025|10130</t>
  </si>
  <si>
    <t>Long term financial debts versus banks</t>
  </si>
  <si>
    <t>025|10310</t>
  </si>
  <si>
    <t>10540</t>
  </si>
  <si>
    <t>Run by Young on 29/12/15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</si>
</sst>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formatCode="_(&quot;€&quot;* #,##0_);_(&quot;€&quot;* \(#,##0\);_(&quot;€&quot;* &quot;-&quot;_);_(@_)" numFmtId="164"/>
    <numFmt formatCode="_(&quot;€&quot;* #,##0.00_);_(&quot;€&quot;* \(#,##0.00\);_(&quot;€&quot;* &quot;-&quot;??_);_(@_)" numFmtId="165"/>
    <numFmt formatCode="0.0%" numFmtId="166"/>
    <numFmt formatCode="#,##0.00," numFmtId="167"/>
    <numFmt formatCode="#.###." numFmtId="168"/>
    <numFmt formatCode="#,##0," numFmtId="169"/>
    <numFmt formatCode="dd/mm/yy;@" numFmtId="170"/>
    <numFmt formatCode="mm/dd/yy;@" numFmtId="171"/>
    <numFmt formatCode="_(* #,##0_);_(* \(#,##0\);_(* &quot;-&quot;_);_(@_)" numFmtId="172"/>
    <numFmt formatCode="_(* #,##0.00_);_(* \(#,##0.00\);_(* &quot;-&quot;??_);_(@_)" numFmtId="173"/>
  </numFmts>
  <fonts count="176" x14ac:knownFonts="1">
    <font>
      <sz val="11"/>
      <color rgb="000000"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1F497D" theme="3"/>
      <name val="Tahoma"/>
      <family val="2"/>
    </font>
    <font>
      <sz val="11"/>
      <color rgb="1F497D" theme="3"/>
      <name val="Tahoma"/>
      <family val="2"/>
    </font>
    <font>
      <b/>
      <sz val="11"/>
      <color rgb="1F497D" theme="3"/>
      <name val="Tahoma"/>
      <family val="2"/>
    </font>
    <font>
      <b/>
      <sz val="9"/>
      <color theme="0"/>
      <name val="Tahoma"/>
      <family val="2"/>
    </font>
    <font>
      <b/>
      <sz val="11"/>
      <name val="Tahoma"/>
      <family val="2"/>
    </font>
    <font>
      <sz val="9"/>
      <color rgb="1F497D" theme="3"/>
      <name val="Tahoma"/>
      <family val="2"/>
    </font>
    <font>
      <b/>
      <sz val="9"/>
      <color indexed="9"/>
      <name val="Tahoma"/>
      <family val="2"/>
    </font>
    <font>
      <b/>
      <sz val="10"/>
      <color rgb="1F497D" theme="3"/>
      <name val="Tahoma"/>
      <family val="2"/>
    </font>
    <font>
      <b/>
      <sz val="9"/>
      <color indexed="27"/>
      <name val="Arial"/>
      <family val="2"/>
    </font>
    <font>
      <sz val="9"/>
      <color theme="0"/>
      <name val="Tahoma"/>
      <family val="2"/>
    </font>
    <font>
      <sz val="10"/>
      <color theme="3"/>
      <name val="Tahoma"/>
      <family val="2"/>
    </font>
    <font>
      <b/>
      <sz val="10"/>
      <name val="Tahoma"/>
      <family val="2"/>
    </font>
    <font>
      <i/>
      <sz val="10"/>
      <color theme="3"/>
      <name val="Tahoma"/>
      <family val="2"/>
    </font>
    <font>
      <i/>
      <sz val="10"/>
      <name val="Tahoma"/>
      <family val="2"/>
    </font>
    <font>
      <sz val="12"/>
      <color rgb="FF094A74"/>
      <name val="Tahoma"/>
      <family val="2"/>
    </font>
    <font>
      <b/>
      <sz val="10"/>
      <color rgb="FF094A74"/>
      <name val="Tahoma"/>
      <family val="2"/>
    </font>
    <font>
      <sz val="8"/>
      <color indexed="8"/>
      <name val="Tahoma"/>
      <family val="2"/>
    </font>
    <font>
      <sz val="11"/>
      <name val="Webdings"/>
      <family val="1"/>
      <charset val="2"/>
    </font>
    <font>
      <sz val="10"/>
      <color indexed="9"/>
      <name val="Tahoma"/>
      <family val="2"/>
    </font>
    <font>
      <u/>
      <sz val="10"/>
      <color theme="3"/>
      <name val="Tahoma"/>
      <family val="2"/>
    </font>
    <font>
      <sz val="9"/>
      <name val="Arial"/>
      <family val="2"/>
    </font>
    <font>
      <sz val="10"/>
      <color indexed="14"/>
      <name val="Arial"/>
      <family val="2"/>
    </font>
    <font>
      <sz val="10"/>
      <color indexed="9"/>
      <name val="Arial"/>
      <family val="2"/>
    </font>
    <font>
      <b/>
      <sz val="10"/>
      <color rgb="1F497D" theme="3"/>
      <name val="Arial"/>
      <family val="2"/>
    </font>
    <font>
      <sz val="11"/>
      <color rgb="FFFFFF" theme="0"/>
      <name val="Calibri"/>
      <family val="2"/>
      <scheme val="minor"/>
    </font>
    <font>
      <sz val="8"/>
      <color rgb="1F497D" theme="3"/>
      <name val="Tahoma"/>
      <family val="2"/>
    </font>
    <font>
      <b/>
      <sz val="8"/>
      <color rgb="1F497D" theme="3"/>
      <name val="Tahoma"/>
      <family val="2"/>
    </font>
    <font>
      <u/>
      <sz val="8"/>
      <color theme="3"/>
      <name val="Tahoma"/>
      <family val="2"/>
    </font>
    <font>
      <b/>
      <sz val="14"/>
      <color rgb="1F497D"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8"/>
      <color rgb="FF094A74"/>
      <name val="Tahoma"/>
      <family val="2"/>
    </font>
    <font>
      <b/>
      <sz val="18"/>
      <color theme="3"/>
      <name val="Cambria"/>
      <family val="2"/>
      <scheme val="major"/>
    </font>
    <font>
      <sz val="14"/>
      <color rgb="FFFF0000"/>
      <name val="Webdings"/>
      <family val="1"/>
      <charset val="2"/>
    </font>
    <font>
      <b/>
      <sz val="11"/>
      <color rgb="FFFFFF" theme="0"/>
      <name val="Calibri"/>
      <family val="2"/>
      <scheme val="minor"/>
    </font>
    <font>
      <sz val="8"/>
      <color rgb="FFFFFF" theme="0"/>
      <name val="Tahoma"/>
      <family val="2"/>
    </font>
    <font>
      <b/>
      <i/>
      <sz val="8"/>
      <color theme="3"/>
      <name val="Tahoma"/>
      <family val="2"/>
    </font>
    <font>
      <b/>
      <sz val="8"/>
      <color rgb="FFFFFF" theme="0" tint="-0.34998626667073579"/>
      <name val="Tahoma"/>
      <family val="2"/>
    </font>
    <font>
      <b/>
      <sz val="8"/>
      <color rgb="FFFFFF" theme="0" tint="-0.249977111117893"/>
      <name val="Tahoma"/>
      <family val="2"/>
    </font>
    <font>
      <sz val="8"/>
      <color rgb="FFFF0000"/>
      <name val="Webdings"/>
      <family val="1"/>
      <charset val="2"/>
    </font>
    <font>
      <sz val="8"/>
      <color theme="1"/>
      <name val="Webdings"/>
      <family val="1"/>
      <charset val="2"/>
    </font>
    <font>
      <sz val="14"/>
      <color rgb="1F497D" theme="3"/>
      <name val="Tahoma"/>
      <family val="2"/>
    </font>
    <font>
      <u/>
      <sz val="9"/>
      <color rgb="1F497D" theme="3"/>
      <name val="Tahoma"/>
      <family val="2"/>
    </font>
    <font>
      <b/>
      <i/>
      <sz val="10"/>
      <color rgb="1F497D" theme="3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i/>
      <sz val="8"/>
      <name val="Arial"/>
      <family val="2"/>
    </font>
    <font>
      <b/>
      <sz val="10"/>
      <color rgb="FFFF0000"/>
      <name val="Tahoma"/>
      <family val="2"/>
    </font>
    <font>
      <name val="Calibri"/>
      <sz val="11.0"/>
      <color rgb="000000"/>
      <u val="none"/>
    </font>
    <font>
      <name val="Tahoma"/>
      <sz val="10.0"/>
      <b val="true"/>
      <color rgb="FF0000"/>
      <u val="none"/>
    </font>
    <font>
      <name val="Tahoma"/>
      <sz val="8.0"/>
      <color rgb="1F497D"/>
      <u val="none"/>
    </font>
    <font>
      <name val="Tahoma"/>
      <sz val="10.0"/>
      <b val="true"/>
      <color rgb="FF0000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Webdings"/>
      <sz val="14.0"/>
      <color rgb="FF0000"/>
      <u val="none"/>
    </font>
    <font>
      <name val="Tahoma"/>
      <sz val="8.0"/>
      <color rgb="1F497D"/>
      <u val="none"/>
    </font>
    <font>
      <name val="Tahoma"/>
      <sz val="11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9C6500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7F7F7F"/>
      <i val="true"/>
      <u val="none"/>
    </font>
    <font>
      <name val="Tahoma"/>
      <sz val="8.0"/>
      <b val="true"/>
      <color rgb="1F497D"/>
      <u val="none"/>
    </font>
    <font>
      <name val="Calibri"/>
      <sz val="11.0"/>
      <color rgb="006100"/>
      <u val="none"/>
    </font>
    <font>
      <name val="Tahoma"/>
      <sz val="8.0"/>
      <color rgb="1F497D"/>
      <u val="none"/>
    </font>
    <font>
      <name val="Tahoma"/>
      <sz val="11.0"/>
      <color rgb="1F497D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11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single"/>
    </font>
    <font>
      <name val="Calibri"/>
      <sz val="11.0"/>
      <color rgb="3F3F76"/>
      <u val="none"/>
    </font>
    <font>
      <name val="Tahoma"/>
      <sz val="8.0"/>
      <b val="true"/>
      <color rgb="1F497D"/>
      <u val="none"/>
    </font>
    <font>
      <name val="Webdings"/>
      <sz val="14.0"/>
      <color rgb="FF0000"/>
      <u val="none"/>
    </font>
    <font>
      <name val="Calibri"/>
      <sz val="11.0"/>
      <color rgb="FA7D00"/>
      <u val="none"/>
    </font>
    <font>
      <name val="Cambria"/>
      <sz val="18.0"/>
      <b val="true"/>
      <color rgb="1F497D"/>
      <u val="none"/>
    </font>
    <font>
      <name val="Calibri"/>
      <sz val="11.0"/>
      <b val="true"/>
      <color rgb="000000"/>
      <i val="true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b val="true"/>
      <color rgb="000000"/>
      <u val="none"/>
    </font>
    <font>
      <name val="Tahoma"/>
      <sz val="8.0"/>
      <color rgb="FFFFFF"/>
      <u val="none"/>
    </font>
    <font>
      <name val="Calibri"/>
      <sz val="11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b val="true"/>
      <color rgb="3F3F3F"/>
      <u val="none"/>
    </font>
    <font>
      <name val="Calibri"/>
      <sz val="11.0"/>
      <b val="true"/>
      <color rgb="FFFFFF"/>
      <u val="none"/>
    </font>
    <font>
      <name val="Tahoma"/>
      <sz val="8.0"/>
      <color rgb="1F497D"/>
      <u val="singl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b val="true"/>
      <color rgb="FA7D00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Webdings"/>
      <sz val="8.0"/>
      <color rgb="000000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Webdings"/>
      <sz val="8.0"/>
      <color rgb="FF0000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9C0006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0000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Tahoma"/>
      <sz val="8.0"/>
      <b val="true"/>
      <color rgb="1F497D"/>
      <i val="true"/>
      <u val="none"/>
    </font>
    <font>
      <name val="Calibri"/>
      <sz val="11.0"/>
      <color rgb="1F497D"/>
      <u val="none"/>
    </font>
    <font>
      <name val="Tahoma"/>
      <sz val="8.0"/>
      <color rgb="1F497D"/>
      <u val="none"/>
    </font>
    <font>
      <name val="Calibri"/>
      <sz val="15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1F497D"/>
      <u val="none"/>
    </font>
    <font>
      <name val="Webdings"/>
      <sz val="10.0"/>
      <color rgb="1F497D"/>
      <u val="none"/>
    </font>
    <font>
      <name val="Calibri"/>
      <sz val="11.0"/>
      <color rgb="FFFFFF"/>
      <u val="none"/>
    </font>
    <font>
      <name val="Calibri"/>
      <sz val="11.0"/>
      <b val="true"/>
      <color rgb="1F497D"/>
      <u val="none"/>
    </font>
    <font>
      <name val="Calibri"/>
      <sz val="13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b val="true"/>
      <color rgb="1F497D"/>
      <u val="none"/>
    </font>
    <font>
      <name val="Calibri"/>
      <sz val="11.0"/>
      <b val="true"/>
    </font>
    <font>
      <name val="Calibri"/>
      <sz val="11.0"/>
      <color rgb="0000FF"/>
      <b val="true"/>
    </font>
    <font>
      <name val="Calibri"/>
      <sz val="11.0"/>
      <i val="true"/>
    </font>
  </fonts>
  <fills count="104">
    <fill>
      <patternFill patternType="none"/>
    </fill>
    <fill>
      <patternFill patternType="gray125"/>
    </fill>
    <fill>
      <patternFill patternType="solid">
        <fgColor rgb="FF094A74"/>
        <bgColor rgb="FF094A74"/>
      </patternFill>
    </fill>
    <fill>
      <patternFill patternType="solid">
        <fgColor indexed="31"/>
        <bgColor indexed="64"/>
      </patternFill>
    </fill>
    <fill>
      <patternFill patternType="solid">
        <fgColor theme="2"/>
        <bgColor indexed="26"/>
      </patternFill>
    </fill>
    <fill>
      <patternFill patternType="solid">
        <fgColor indexed="27"/>
        <bgColor indexed="64"/>
      </patternFill>
    </fill>
    <fill>
      <patternFill patternType="solid">
        <fgColor theme="8" tint="0.79998168889431442"/>
        <bgColor rgb="FFD8EBF6"/>
      </patternFill>
    </fill>
    <fill>
      <patternFill patternType="solid">
        <fgColor theme="0"/>
        <bgColor theme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rgb="FFF8FBD1"/>
        <bgColor indexed="2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" theme="0"/>
        <bgColor indexed="64"/>
      </patternFill>
    </fill>
    <fill>
      <patternFill patternType="solid">
        <fgColor rgb="FFEAF0F6"/>
        <bgColor indexed="64"/>
      </patternFill>
    </fill>
    <fill>
      <patternFill/>
    </fill>
    <fill>
      <patternFill patternType="none">
        <bgColor indexed="64"/>
      </patternFill>
    </fill>
    <fill>
      <patternFill patternType="none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none">
        <bgColor indexed="65"/>
      </patternFill>
    </fill>
    <fill>
      <patternFill patternType="none">
        <fgColor rgb="FF4F81BD" theme="4" tint="0.7999816888943144"/>
        <bgColor indexed="65"/>
      </patternFill>
    </fill>
    <fill>
      <patternFill patternType="solid">
        <fgColor rgb="4F81BD" theme="4" tint="0.7999816888943144"/>
        <bgColor indexed="65"/>
      </patternFill>
    </fill>
    <fill>
      <patternFill patternType="none">
        <fgColor rgb="FFC0504D" theme="5" tint="0.7999816888943144"/>
        <bgColor indexed="65"/>
      </patternFill>
    </fill>
    <fill>
      <patternFill patternType="solid">
        <fgColor rgb="C0504D" theme="5" tint="0.7999816888943144"/>
        <bgColor indexed="65"/>
      </patternFill>
    </fill>
    <fill>
      <patternFill patternType="none">
        <fgColor rgb="FF9BBB59" theme="6" tint="0.7999816888943144"/>
        <bgColor indexed="65"/>
      </patternFill>
    </fill>
    <fill>
      <patternFill patternType="solid">
        <fgColor rgb="9BBB59" theme="6" tint="0.7999816888943144"/>
        <bgColor indexed="65"/>
      </patternFill>
    </fill>
    <fill>
      <patternFill patternType="none">
        <fgColor rgb="FF8064A2" theme="7" tint="0.7999816888943144"/>
        <bgColor indexed="65"/>
      </patternFill>
    </fill>
    <fill>
      <patternFill patternType="solid">
        <fgColor rgb="8064A2" theme="7" tint="0.7999816888943144"/>
        <bgColor indexed="65"/>
      </patternFill>
    </fill>
    <fill>
      <patternFill patternType="none">
        <fgColor rgb="FF4BACC6" theme="8" tint="0.7999816888943144"/>
        <bgColor indexed="65"/>
      </patternFill>
    </fill>
    <fill>
      <patternFill patternType="solid">
        <fgColor rgb="4BACC6" theme="8" tint="0.7999816888943144"/>
        <bgColor indexed="65"/>
      </patternFill>
    </fill>
    <fill>
      <patternFill patternType="none">
        <fgColor rgb="FFFFEB9C"/>
      </patternFill>
    </fill>
    <fill>
      <patternFill patternType="solid">
        <fgColor rgb="FFFFEB9C"/>
      </patternFill>
    </fill>
    <fill>
      <patternFill patternType="none">
        <fgColor rgb="FFF79646" theme="9" tint="0.7999816888943144"/>
        <bgColor indexed="65"/>
      </patternFill>
    </fill>
    <fill>
      <patternFill patternType="solid">
        <fgColor rgb="F79646" theme="9" tint="0.7999816888943144"/>
        <bgColor indexed="65"/>
      </patternFill>
    </fill>
    <fill>
      <patternFill patternType="none">
        <fgColor rgb="FFC6EFCE"/>
      </patternFill>
    </fill>
    <fill>
      <patternFill patternType="solid">
        <fgColor rgb="FFC6EFCE"/>
      </patternFill>
    </fill>
    <fill>
      <patternFill patternType="none">
        <fgColor rgb="FFF8F8F2"/>
        <bgColor indexed="64"/>
      </patternFill>
    </fill>
    <fill>
      <patternFill patternType="solid">
        <fgColor rgb="FFF8F8F2"/>
        <bgColor indexed="64"/>
      </patternFill>
    </fill>
    <fill>
      <patternFill patternType="none">
        <fgColor rgb="FF9BBB59" theme="6" tint="0.5999938962981048"/>
        <bgColor indexed="65"/>
      </patternFill>
    </fill>
    <fill>
      <patternFill patternType="solid">
        <fgColor rgb="9BBB59" theme="6" tint="0.5999938962981048"/>
        <bgColor indexed="65"/>
      </patternFill>
    </fill>
    <fill>
      <patternFill patternType="none">
        <fgColor rgb="FFC0504D" theme="5" tint="0.5999938962981048"/>
        <bgColor indexed="65"/>
      </patternFill>
    </fill>
    <fill>
      <patternFill patternType="solid">
        <fgColor rgb="C0504D" theme="5" tint="0.5999938962981048"/>
        <bgColor indexed="65"/>
      </patternFill>
    </fill>
    <fill>
      <patternFill patternType="none">
        <fgColor rgb="FF4F81BD" theme="4" tint="0.5999938962981048"/>
        <bgColor indexed="65"/>
      </patternFill>
    </fill>
    <fill>
      <patternFill patternType="solid">
        <fgColor rgb="4F81BD" theme="4" tint="0.5999938962981048"/>
        <bgColor indexed="65"/>
      </patternFill>
    </fill>
    <fill>
      <patternFill patternType="none">
        <fgColor rgb="FFFFCC99"/>
      </patternFill>
    </fill>
    <fill>
      <patternFill patternType="solid">
        <fgColor rgb="FFFFCC99"/>
      </patternFill>
    </fill>
    <fill>
      <patternFill patternType="none">
        <fgColor rgb="FFFFFFCC"/>
      </patternFill>
    </fill>
    <fill>
      <patternFill patternType="solid">
        <fgColor rgb="FFFFFFCC"/>
      </patternFill>
    </fill>
    <fill>
      <patternFill patternType="none">
        <fgColor rgb="FF8064A2" theme="7" tint="0.5999938962981048"/>
        <bgColor indexed="65"/>
      </patternFill>
    </fill>
    <fill>
      <patternFill patternType="solid">
        <fgColor rgb="8064A2" theme="7" tint="0.5999938962981048"/>
        <bgColor indexed="65"/>
      </patternFill>
    </fill>
    <fill>
      <patternFill patternType="none">
        <fgColor rgb="FF4BACC6" theme="8" tint="0.5999938962981048"/>
        <bgColor indexed="65"/>
      </patternFill>
    </fill>
    <fill>
      <patternFill patternType="solid">
        <fgColor rgb="4BACC6" theme="8" tint="0.5999938962981048"/>
        <bgColor indexed="65"/>
      </patternFill>
    </fill>
    <fill>
      <patternFill patternType="none">
        <fgColor rgb="FFF79646" theme="9" tint="0.5999938962981048"/>
        <bgColor indexed="65"/>
      </patternFill>
    </fill>
    <fill>
      <patternFill patternType="solid">
        <fgColor rgb="F79646" theme="9" tint="0.5999938962981048"/>
        <bgColor indexed="65"/>
      </patternFill>
    </fill>
    <fill>
      <patternFill patternType="none">
        <fgColor rgb="FF1F497D" theme="3" tint="0.7999816888943144"/>
        <bgColor indexed="64"/>
      </patternFill>
    </fill>
    <fill>
      <patternFill patternType="solid">
        <fgColor rgb="1F497D" theme="3" tint="0.7999816888943144"/>
        <bgColor indexed="64"/>
      </patternFill>
    </fill>
    <fill>
      <patternFill patternType="none">
        <fgColor rgb="FFF2F2F2"/>
      </patternFill>
    </fill>
    <fill>
      <patternFill patternType="solid">
        <fgColor rgb="FFF2F2F2"/>
      </patternFill>
    </fill>
    <fill>
      <patternFill patternType="none">
        <fgColor rgb="FFA5A5A5"/>
      </patternFill>
    </fill>
    <fill>
      <patternFill patternType="solid">
        <fgColor rgb="FFA5A5A5"/>
      </patternFill>
    </fill>
    <fill>
      <patternFill patternType="none">
        <fgColor rgb="FFF79646" theme="9"/>
      </patternFill>
    </fill>
    <fill>
      <patternFill patternType="solid">
        <fgColor rgb="F79646" theme="9"/>
      </patternFill>
    </fill>
    <fill>
      <patternFill patternType="none">
        <fgColor rgb="FF4BACC6" theme="8"/>
      </patternFill>
    </fill>
    <fill>
      <patternFill patternType="solid">
        <fgColor rgb="4BACC6" theme="8"/>
      </patternFill>
    </fill>
    <fill>
      <patternFill patternType="none">
        <fgColor rgb="FF8064A2" theme="7"/>
      </patternFill>
    </fill>
    <fill>
      <patternFill patternType="solid">
        <fgColor rgb="8064A2" theme="7"/>
      </patternFill>
    </fill>
    <fill>
      <patternFill patternType="none">
        <fgColor rgb="FF9BBB59" theme="6"/>
      </patternFill>
    </fill>
    <fill>
      <patternFill patternType="solid">
        <fgColor rgb="9BBB59" theme="6"/>
      </patternFill>
    </fill>
    <fill>
      <patternFill patternType="none">
        <fgColor rgb="FFC0504D" theme="5"/>
      </patternFill>
    </fill>
    <fill>
      <patternFill patternType="solid">
        <fgColor rgb="C0504D" theme="5"/>
      </patternFill>
    </fill>
    <fill>
      <patternFill patternType="none">
        <fgColor rgb="FF4F81BD" theme="4"/>
      </patternFill>
    </fill>
    <fill>
      <patternFill patternType="solid">
        <fgColor rgb="4F81BD" theme="4"/>
      </patternFill>
    </fill>
    <fill>
      <patternFill patternType="none">
        <fgColor rgb="FF8064A2" theme="7" tint="0.3999755851924192"/>
        <bgColor indexed="65"/>
      </patternFill>
    </fill>
    <fill>
      <patternFill patternType="solid">
        <fgColor rgb="8064A2" theme="7" tint="0.3999755851924192"/>
        <bgColor indexed="65"/>
      </patternFill>
    </fill>
    <fill>
      <patternFill patternType="none">
        <fgColor rgb="FF4BACC6" theme="8" tint="0.3999755851924192"/>
        <bgColor indexed="65"/>
      </patternFill>
    </fill>
    <fill>
      <patternFill patternType="solid">
        <fgColor rgb="4BACC6" theme="8" tint="0.3999755851924192"/>
        <bgColor indexed="65"/>
      </patternFill>
    </fill>
    <fill>
      <patternFill patternType="none">
        <fgColor rgb="FFC0504D" theme="5" tint="0.3999755851924192"/>
        <bgColor indexed="65"/>
      </patternFill>
    </fill>
    <fill>
      <patternFill patternType="solid">
        <fgColor rgb="C0504D" theme="5" tint="0.3999755851924192"/>
        <bgColor indexed="65"/>
      </patternFill>
    </fill>
    <fill>
      <patternFill patternType="none">
        <fgColor rgb="FF9BBB59" theme="6" tint="0.3999755851924192"/>
        <bgColor indexed="65"/>
      </patternFill>
    </fill>
    <fill>
      <patternFill patternType="solid">
        <fgColor rgb="9BBB59" theme="6" tint="0.3999755851924192"/>
        <bgColor indexed="65"/>
      </patternFill>
    </fill>
    <fill>
      <patternFill patternType="none">
        <fgColor rgb="FFFFC7CE"/>
      </patternFill>
    </fill>
    <fill>
      <patternFill patternType="solid">
        <fgColor rgb="FFFFC7CE"/>
      </patternFill>
    </fill>
    <fill>
      <patternFill patternType="none">
        <fgColor rgb="FFF79646" theme="9" tint="0.3999755851924192"/>
        <bgColor indexed="65"/>
      </patternFill>
    </fill>
    <fill>
      <patternFill patternType="solid">
        <fgColor rgb="F79646" theme="9" tint="0.3999755851924192"/>
        <bgColor indexed="65"/>
      </patternFill>
    </fill>
    <fill>
      <patternFill patternType="none">
        <fgColor rgb="FFFFFFFF" theme="0"/>
        <bgColor indexed="64"/>
      </patternFill>
    </fill>
    <fill>
      <patternFill patternType="solid">
        <fgColor rgb="FFFFFF" theme="0"/>
        <bgColor indexed="64"/>
      </patternFill>
    </fill>
    <fill>
      <patternFill patternType="none">
        <fgColor rgb="FF4F81BD" theme="4" tint="0.3999755851924192"/>
        <bgColor indexed="65"/>
      </patternFill>
    </fill>
    <fill>
      <patternFill patternType="solid">
        <fgColor rgb="4F81BD" theme="4" tint="0.3999755851924192"/>
        <bgColor indexed="65"/>
      </patternFill>
    </fill>
    <fill>
      <patternFill patternType="solid">
        <fgColor rgb="FFFFFF" theme="0"/>
        <bgColor indexed="64"/>
      </patternFill>
    </fill>
  </fills>
  <borders count="102">
    <border>
      <left/>
      <right/>
      <top/>
      <bottom/>
      <diagonal/>
    </border>
    <border>
      <left style="thin">
        <color rgb="FFFFFF" theme="0"/>
      </left>
      <right style="thin">
        <color rgb="FFFFFF" theme="0"/>
      </right>
      <top style="thin">
        <color rgb="FFFFFF" theme="0"/>
      </top>
      <bottom style="thin">
        <color rgb="FFFFFF" theme="0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/>
      <bottom style="medium">
        <color rgb="FF094A7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rgb="1F497D"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rgb="FFFFFF" theme="0"/>
      </left>
      <right style="thin">
        <color rgb="FFFFFF" theme="0"/>
      </right>
      <top/>
      <bottom style="thick">
        <color rgb="1F497D" theme="3"/>
      </bottom>
      <diagonal/>
    </border>
    <border>
      <left/>
      <right/>
      <top/>
      <bottom style="medium">
        <color theme="3" tint="0.79998168889431442"/>
      </bottom>
      <diagonal/>
    </border>
    <border>
      <left/>
      <right/>
      <top/>
      <bottom style="double">
        <color rgb="1F497D" theme="3" tint="0.79998168889431442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ck">
        <color rgb="1F497D" theme="3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rgb="FFFFFF" theme="0"/>
      </left>
      <right/>
      <top/>
      <bottom style="thick">
        <color rgb="1F497D" theme="3"/>
      </bottom>
      <diagonal/>
    </border>
    <border>
      <left/>
      <right style="thin">
        <color rgb="FFFFFF" theme="0"/>
      </right>
      <top/>
      <bottom style="thick">
        <color rgb="1F497D" theme="3"/>
      </bottom>
      <diagonal/>
    </border>
    <border>
      <left style="thin">
        <color rgb="FFFFFF" theme="0"/>
      </left>
      <right/>
      <top/>
      <bottom/>
      <diagonal/>
    </border>
    <border>
      <bottom style="thin"/>
    </border>
    <border>
      <bottom style="thin">
        <color rgb="1F497D" theme="3" tint="0.7999816888943144"/>
      </bottom>
    </border>
    <border>
      <bottom style="double"/>
    </border>
    <border>
      <bottom style="double">
        <color rgb="1F497D" theme="3" tint="0.7999816888943144"/>
      </bottom>
    </border>
    <border>
      <top style="thin"/>
    </border>
    <border>
      <top style="thin">
        <color rgb="FF1F497D" theme="3" tint="0.7999816888943144"/>
      </top>
    </border>
    <border>
      <top style="thin">
        <color rgb="FF1F497D" theme="3" tint="0.7999816888943144"/>
      </top>
      <bottom style="thin"/>
    </border>
    <border>
      <top style="thin">
        <color rgb="1F497D" theme="3" tint="0.7999816888943144"/>
      </top>
      <bottom style="thin">
        <color rgb="1F497D" theme="3" tint="0.7999816888943144"/>
      </bottom>
    </border>
    <border>
      <bottom style="thick"/>
    </border>
    <border>
      <bottom style="thick">
        <color rgb="1F497D" theme="3"/>
      </bottom>
    </border>
    <border>
      <bottom style="thick">
        <color rgb="FF000000" theme="1" tint="0.499984740745262"/>
      </bottom>
    </border>
    <border>
      <left style="thin"/>
      <bottom style="thick">
        <color rgb="FF000000" theme="1" tint="0.499984740745262"/>
      </bottom>
    </border>
    <border>
      <left style="thin">
        <color rgb="FFFFFFFF" theme="0"/>
      </left>
      <bottom style="thick">
        <color rgb="FF000000" theme="1" tint="0.499984740745262"/>
      </bottom>
    </border>
    <border>
      <left style="thin">
        <color rgb="FFFFFFFF" theme="0"/>
      </left>
      <right style="thin"/>
      <bottom style="thick">
        <color rgb="FF000000" theme="1" tint="0.499984740745262"/>
      </bottom>
    </border>
    <border>
      <left style="thin">
        <color rgb="FFFFFF" theme="0"/>
      </left>
      <right style="thin">
        <color rgb="FFFFFF" theme="0"/>
      </right>
      <bottom style="thick">
        <color rgb="000000" theme="1" tint="0.499984740745262"/>
      </bottom>
    </border>
    <border>
      <bottom style="thick">
        <color rgb="1F497D" theme="3" tint="0.3999450666829432"/>
      </bottom>
    </border>
    <border>
      <bottom style="medium"/>
    </border>
    <border>
      <bottom style="medium">
        <color rgb="1F497D" theme="3"/>
      </bottom>
    </border>
    <border>
      <top style="thin">
        <color rgb="FF7F7F7F"/>
      </top>
    </border>
    <border>
      <top style="thin">
        <color rgb="FF7F7F7F"/>
      </top>
      <bottom style="thin"/>
    </border>
    <border>
      <top style="thin">
        <color rgb="FF7F7F7F"/>
      </top>
      <bottom style="thin">
        <color rgb="FF7F7F7F"/>
      </bottom>
    </border>
    <border>
      <left style="thin"/>
      <top style="thin">
        <color rgb="FF7F7F7F"/>
      </top>
      <bottom style="thin">
        <color rgb="FF7F7F7F"/>
      </bottom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left style="thin">
        <color rgb="FF7F7F7F"/>
      </left>
      <right style="thin"/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top style="thin">
        <color rgb="FFB2B2B2"/>
      </top>
    </border>
    <border>
      <top style="thin">
        <color rgb="FFB2B2B2"/>
      </top>
      <bottom style="thin"/>
    </border>
    <border>
      <top style="thin">
        <color rgb="FFB2B2B2"/>
      </top>
      <bottom style="thin">
        <color rgb="FFB2B2B2"/>
      </bottom>
    </border>
    <border>
      <left style="thin"/>
      <top style="thin">
        <color rgb="FFB2B2B2"/>
      </top>
      <bottom style="thin">
        <color rgb="FFB2B2B2"/>
      </bottom>
    </border>
    <border>
      <left style="thin">
        <color rgb="FFB2B2B2"/>
      </left>
      <top style="thin">
        <color rgb="FFB2B2B2"/>
      </top>
      <bottom style="thin">
        <color rgb="FFB2B2B2"/>
      </bottom>
    </border>
    <border>
      <left style="thin">
        <color rgb="FFB2B2B2"/>
      </left>
      <right style="thin"/>
      <top style="thin">
        <color rgb="FFB2B2B2"/>
      </top>
      <bottom style="thin">
        <color rgb="FFB2B2B2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bottom style="double">
        <color rgb="FFFF8001"/>
      </bottom>
    </border>
    <border>
      <top style="thin">
        <color rgb="FF4F81BD" theme="4"/>
      </top>
    </border>
    <border>
      <top style="thin">
        <color rgb="FF4F81BD" theme="4"/>
      </top>
      <bottom style="double"/>
    </border>
    <border>
      <top style="thin">
        <color rgb="4F81BD" theme="4"/>
      </top>
      <bottom style="double">
        <color rgb="4F81BD" theme="4"/>
      </bottom>
    </border>
    <border>
      <top style="thin">
        <color rgb="FF3F3F3F"/>
      </top>
    </border>
    <border>
      <top style="thin">
        <color rgb="FF3F3F3F"/>
      </top>
      <bottom style="thin"/>
    </border>
    <border>
      <top style="thin">
        <color rgb="FF3F3F3F"/>
      </top>
      <bottom style="thin">
        <color rgb="FF3F3F3F"/>
      </bottom>
    </border>
    <border>
      <left style="thin"/>
      <top style="thin">
        <color rgb="FF3F3F3F"/>
      </top>
      <bottom style="thin">
        <color rgb="FF3F3F3F"/>
      </bottom>
    </border>
    <border>
      <left style="thin">
        <color rgb="FF3F3F3F"/>
      </left>
      <top style="thin">
        <color rgb="FF3F3F3F"/>
      </top>
      <bottom style="thin">
        <color rgb="FF3F3F3F"/>
      </bottom>
    </border>
    <border>
      <left style="thin">
        <color rgb="FF3F3F3F"/>
      </left>
      <right style="thin"/>
      <top style="thin">
        <color rgb="FF3F3F3F"/>
      </top>
      <bottom style="thin">
        <color rgb="FF3F3F3F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top style="double"/>
    </border>
    <border>
      <top style="double">
        <color rgb="FF3F3F3F"/>
      </top>
    </border>
    <border>
      <top style="double">
        <color rgb="FF3F3F3F"/>
      </top>
      <bottom style="double"/>
    </border>
    <border>
      <top style="double">
        <color rgb="FF3F3F3F"/>
      </top>
      <bottom style="double">
        <color rgb="FF3F3F3F"/>
      </bottom>
    </border>
    <border>
      <left style="double"/>
      <top style="double">
        <color rgb="FF3F3F3F"/>
      </top>
      <bottom style="double">
        <color rgb="FF3F3F3F"/>
      </bottom>
    </border>
    <border>
      <left style="double">
        <color rgb="FF3F3F3F"/>
      </left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/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/>
      <bottom style="thick">
        <color rgb="FF1F497D" theme="3"/>
      </bottom>
    </border>
    <border>
      <left style="thin">
        <color rgb="FFFFFFFF" theme="0"/>
      </left>
      <bottom style="thick">
        <color rgb="FF1F497D" theme="3"/>
      </bottom>
    </border>
    <border>
      <left style="thin">
        <color rgb="FFFFFFFF" theme="0"/>
      </left>
      <right style="thin"/>
      <bottom style="thick">
        <color rgb="FF1F497D" theme="3"/>
      </bottom>
    </border>
    <border>
      <left style="thin">
        <color rgb="FFFFFF" theme="0"/>
      </left>
      <right style="thin">
        <color rgb="FFFFFF" theme="0"/>
      </right>
      <bottom style="thick">
        <color rgb="1F497D" theme="3"/>
      </bottom>
    </border>
    <border>
      <top style="thin">
        <color rgb="FFFFFFFF" theme="0"/>
      </top>
    </border>
    <border>
      <top style="thin">
        <color rgb="FFFFFFFF" theme="0"/>
      </top>
      <bottom style="thin"/>
    </border>
    <border>
      <top style="thin">
        <color rgb="FFFFFFFF" theme="0"/>
      </top>
      <bottom style="thin">
        <color rgb="FFFFFFFF" theme="0"/>
      </bottom>
    </border>
    <border>
      <left style="thin"/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right style="thin"/>
      <top style="thin">
        <color rgb="FFFFFFFF" theme="0"/>
      </top>
      <bottom style="thin">
        <color rgb="FFFFFFFF" theme="0"/>
      </bottom>
    </border>
    <border>
      <left style="thin">
        <color rgb="FFFFFF" theme="0"/>
      </left>
      <right style="thin">
        <color rgb="FFFFFF" theme="0"/>
      </right>
      <top style="thin">
        <color rgb="FFFFFF" theme="0"/>
      </top>
      <bottom style="thin">
        <color rgb="FFFFFF" theme="0"/>
      </bottom>
    </border>
    <border>
      <left style="thin"/>
      <bottom style="thin">
        <color rgb="FF1F497D" theme="3" tint="0.7999816888943144"/>
      </bottom>
    </border>
    <border>
      <left style="thin">
        <color rgb="FFFFFFFF" theme="0"/>
      </left>
      <bottom style="thin">
        <color rgb="FF1F497D" theme="3" tint="0.7999816888943144"/>
      </bottom>
    </border>
    <border>
      <left style="thin">
        <color rgb="FFFFFFFF" theme="0"/>
      </left>
      <right style="thin"/>
      <bottom style="thin">
        <color rgb="FF1F497D" theme="3" tint="0.7999816888943144"/>
      </bottom>
    </border>
    <border>
      <left style="thin">
        <color rgb="FFFFFF" theme="0"/>
      </left>
      <right style="thin">
        <color rgb="FFFFFF" theme="0"/>
      </right>
      <bottom style="thin">
        <color rgb="1F497D" theme="3" tint="0.7999816888943144"/>
      </bottom>
    </border>
    <border>
      <bottom style="thick">
        <color rgb="4F81BD" theme="4"/>
      </bottom>
    </border>
    <border>
      <bottom style="medium">
        <color rgb="4F81BD" theme="4" tint="0.3999755851924192"/>
      </bottom>
    </border>
    <border>
      <bottom style="thick">
        <color rgb="4F81BD" theme="4" tint="0.499984740745262"/>
      </bottom>
    </border>
    <border>
      <bottom style="thin">
        <color rgb="1F497D" theme="3" tint="0.7999816888943144"/>
      </bottom>
    </border>
    <border>
      <left style="thin">
        <color rgb="FFFFFF" theme="0"/>
      </left>
      <right style="thin">
        <color rgb="FFFFFF" theme="0"/>
      </right>
      <top style="thin">
        <color rgb="FFFFFF" theme="0"/>
      </top>
      <bottom style="thin">
        <color rgb="FFFFFF" theme="0"/>
      </bottom>
    </border>
    <border>
      <left style="thin">
        <color rgb="FFFFFF" theme="0"/>
      </left>
      <right style="thin">
        <color rgb="FFFFFF" theme="0"/>
      </right>
      <top style="thin">
        <color rgb="FFFFFF" theme="0"/>
      </top>
      <bottom style="thin">
        <color rgb="1F497D" theme="3" tint="0.7999816888943144"/>
      </bottom>
    </border>
    <border>
      <left style="thin">
        <color rgb="FFFFFFFF" theme="0"/>
      </left>
      <right style="thin">
        <color rgb="FFFFFFFF" theme="0"/>
      </right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/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n">
        <color rgb="FF1F497D" theme="3"/>
      </bottom>
    </border>
    <border>
      <bottom style="double">
        <color rgb="1F497D" theme="3" tint="0.7999816888943144"/>
      </bottom>
    </border>
    <border>
      <left style="thin">
        <color rgb="FFFFFF" theme="0"/>
      </left>
      <right style="thin">
        <color rgb="FFFFFF" theme="0"/>
      </right>
      <top style="thin">
        <color rgb="FFFFFF" theme="0"/>
      </top>
      <bottom style="double">
        <color rgb="1F497D" theme="3" tint="0.7999816888943144"/>
      </bottom>
    </border>
  </borders>
  <cellStyleXfs count="10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2" numFmtId="0"/>
    <xf applyAlignment="1" applyBorder="1" applyFill="1" applyFont="1" applyNumberFormat="0" applyProtection="0" borderId="1" fillId="2" fontId="6" numFmtId="0">
      <alignment horizontal="center" vertical="center" wrapText="1"/>
    </xf>
    <xf applyAlignment="0" applyBorder="1" applyFill="0" applyFont="0" applyNumberFormat="0" applyProtection="1" borderId="2" fillId="3" fontId="7" numFmtId="9">
      <alignment horizontal="left" indent="2"/>
    </xf>
    <xf applyAlignment="1" applyBorder="0" applyFill="0" applyFont="0" applyNumberFormat="0" applyProtection="0" borderId="3" fillId="4" fontId="9" numFmtId="9">
      <alignment horizontal="right"/>
    </xf>
    <xf applyAlignment="0" applyBorder="0" applyFill="0" applyFont="0" applyNumberFormat="1" applyProtection="0" borderId="3" fillId="4" fontId="9" numFmtId="10">
      <alignment horizontal="center"/>
    </xf>
    <xf applyAlignment="0" applyBorder="0" applyFill="0" applyFont="1" applyNumberFormat="0" applyProtection="0" borderId="0" fillId="0" fontId="29" numFmtId="9"/>
    <xf applyAlignment="0" applyBorder="0" applyFill="1" applyFont="0" applyNumberFormat="0" applyProtection="0" borderId="5" fillId="6" fontId="2" numFmtId="3">
      <alignment horizontal="right"/>
    </xf>
    <xf applyAlignment="0" applyBorder="0" applyFill="1" applyFont="0" applyNumberFormat="0" applyProtection="0" borderId="3" fillId="4" fontId="11" numFmtId="9">
      <alignment horizontal="center"/>
    </xf>
    <xf applyAlignment="0" applyBorder="1" applyFill="1" applyFont="1" applyNumberFormat="0" applyProtection="1" borderId="0" fillId="7" fontId="12" numFmtId="9">
      <alignment horizontal="center"/>
    </xf>
    <xf applyAlignment="0" applyBorder="0" applyFill="1" applyFont="0" applyNumberFormat="0" applyProtection="0" borderId="0" fillId="8" fontId="2" numFmtId="0"/>
    <xf applyAlignment="1" applyBorder="1" applyFill="0" applyFont="1" applyNumberFormat="1" applyProtection="0" borderId="6" fillId="0" fontId="13" numFmtId="3">
      <alignment horizontal="right"/>
    </xf>
    <xf applyAlignment="0" applyBorder="1" applyFill="0" applyFont="0" applyNumberFormat="0" applyProtection="0" borderId="2" fillId="9" fontId="14" numFmtId="0"/>
    <xf applyAlignment="0" applyBorder="0" applyFill="0" applyFont="0" applyNumberFormat="1" applyProtection="1" borderId="0" fillId="0" fontId="1" numFmtId="170"/>
    <xf applyAlignment="0" applyBorder="0" applyFill="0" applyFont="1" applyNumberFormat="0" applyProtection="0" borderId="4" fillId="3" fontId="5" numFmtId="9">
      <alignment horizontal="left" indent="2"/>
    </xf>
    <xf applyAlignment="0" applyBorder="0" applyFill="0" applyFont="1" applyNumberFormat="0" applyProtection="0" borderId="4" fillId="9" fontId="15" numFmtId="0"/>
    <xf applyAlignment="0" applyBorder="0" applyFill="1" applyFont="0" applyNumberFormat="0" applyProtection="0" borderId="4" fillId="9" fontId="16" numFmtId="0"/>
    <xf applyAlignment="1" applyBorder="0" applyFill="0" applyFont="0" applyNumberFormat="0" applyProtection="0" borderId="4" fillId="5" fontId="14" numFmtId="9">
      <alignment horizontal="left" indent="1"/>
    </xf>
    <xf applyAlignment="1" applyBorder="0" applyFill="0" applyFont="0" applyNumberFormat="0" applyProtection="0" borderId="3" fillId="4" fontId="9" numFmtId="9">
      <alignment horizontal="left" indent="1"/>
    </xf>
    <xf applyAlignment="1" applyBorder="1" applyFill="0" applyFont="1" applyNumberFormat="0" applyProtection="0" borderId="7" fillId="4" fontId="17" numFmtId="9"/>
    <xf applyAlignment="0" applyBorder="0" applyFill="0" applyFont="0" applyNumberFormat="1" applyProtection="0" borderId="3" fillId="4" fontId="9" numFmtId="4">
      <alignment horizontal="center"/>
    </xf>
    <xf applyAlignment="0" applyBorder="0" applyFill="0" applyFont="0" applyNumberFormat="1" applyProtection="0" borderId="3" fillId="10" fontId="9" numFmtId="166">
      <alignment horizontal="center"/>
    </xf>
    <xf applyAlignment="0" applyBorder="0" applyFill="0" applyFont="0" applyNumberFormat="1" applyProtection="0" borderId="4" fillId="5" fontId="16" numFmtId="9">
      <alignment horizontal="center"/>
    </xf>
    <xf applyAlignment="1" applyBorder="1" applyFill="0" applyFont="1" applyNumberFormat="0" applyProtection="1" borderId="0" fillId="4" fontId="18" numFmtId="9">
      <alignment horizontal="left"/>
    </xf>
    <xf applyAlignment="0" applyBorder="0" applyFill="1" applyFont="0" applyNumberFormat="0" applyProtection="0" borderId="8" fillId="9" fontId="14" numFmtId="0"/>
    <xf applyAlignment="1" applyBorder="1" applyFill="0" applyFont="0" applyNumberFormat="0" applyProtection="0" borderId="9" fillId="11" fontId="19" numFmtId="3">
      <alignment horizontal="left"/>
    </xf>
    <xf applyAlignment="1" applyBorder="1" applyFill="1" applyFont="1" applyNumberFormat="1" applyProtection="1" borderId="3" fillId="0" fontId="20" numFmtId="0">
      <alignment horizontal="center" vertical="center"/>
    </xf>
    <xf applyAlignment="1" applyBorder="1" applyFill="1" applyFont="1" applyNumberFormat="0" applyProtection="1" borderId="2" fillId="12" fontId="10" numFmtId="0"/>
    <xf applyAlignment="0" applyBorder="0" applyFill="0" applyFont="1" applyNumberFormat="0" applyProtection="0" borderId="4" fillId="5" fontId="14" numFmtId="9">
      <alignment horizontal="center"/>
    </xf>
    <xf applyAlignment="1" applyBorder="0" applyFill="0" applyFont="1" applyNumberFormat="1" applyProtection="0" borderId="3" fillId="4" fontId="21" numFmtId="49">
      <alignment horizontal="left" wrapText="1"/>
    </xf>
    <xf applyAlignment="1" applyBorder="0" applyFill="0" applyFont="0" applyNumberFormat="0" applyProtection="0" borderId="3" fillId="4" fontId="9" numFmtId="9">
      <alignment horizontal="center"/>
    </xf>
    <xf applyAlignment="0" applyBorder="0" applyFill="1" applyFont="0" applyNumberFormat="0" applyProtection="0" borderId="3" fillId="13" fontId="9" numFmtId="9">
      <alignment horizontal="center"/>
    </xf>
    <xf applyAlignment="1" applyBorder="0" applyFill="0" applyFont="1" applyNumberFormat="0" applyProtection="0" borderId="3" fillId="4" fontId="22" numFmtId="0">
      <alignment horizontal="left" indent="2"/>
    </xf>
    <xf applyAlignment="1" applyBorder="1" applyFill="1" applyFont="1" applyNumberFormat="0" applyProtection="0" borderId="1" fillId="2" fontId="12" numFmtId="0">
      <alignment horizontal="center" vertical="center" wrapText="1"/>
    </xf>
    <xf applyAlignment="0" applyBorder="0" applyFill="0" applyFont="1" applyNumberFormat="0" applyProtection="0" borderId="4" fillId="5" fontId="14" numFmtId="0">
      <alignment horizontal="center"/>
    </xf>
    <xf applyAlignment="0" applyBorder="0" applyFill="1" applyFont="1" applyNumberFormat="0" applyProtection="0" borderId="0" fillId="14" fontId="1" numFmtId="0"/>
    <xf applyAlignment="0" applyBorder="0" applyFill="1" applyFont="1" applyNumberFormat="0" applyProtection="0" borderId="0" fillId="15" fontId="1" numFmtId="0"/>
    <xf applyAlignment="0" applyBorder="0" applyFill="1" applyFont="1" applyNumberFormat="0" applyProtection="0" borderId="0" fillId="16" fontId="1" numFmtId="0"/>
    <xf applyAlignment="0" applyBorder="0" applyFill="1" applyFont="1" applyNumberFormat="0" applyProtection="0" borderId="0" fillId="17" fontId="1" numFmtId="0"/>
    <xf applyAlignment="0" applyBorder="0" applyFill="1" applyFont="1" applyNumberFormat="0" applyProtection="0" borderId="0" fillId="18" fontId="1" numFmtId="0"/>
    <xf applyAlignment="0" applyBorder="0" applyFill="1" applyFont="1" applyNumberFormat="0" applyProtection="0" borderId="0" fillId="19" fontId="1" numFmtId="0"/>
    <xf applyAlignment="0" applyBorder="0" applyFill="1" applyFont="1" applyNumberFormat="0" applyProtection="0" borderId="0" fillId="20" fontId="1" numFmtId="0"/>
    <xf applyAlignment="0" applyBorder="0" applyFill="1" applyFont="1" applyNumberFormat="0" applyProtection="0" borderId="0" fillId="21" fontId="1" numFmtId="0"/>
    <xf applyAlignment="0" applyBorder="0" applyFill="1" applyFont="1" applyNumberFormat="0" applyProtection="0" borderId="0" fillId="22" fontId="1" numFmtId="0"/>
    <xf applyAlignment="0" applyBorder="0" applyFill="1" applyFont="1" applyNumberFormat="0" applyProtection="0" borderId="0" fillId="23" fontId="1" numFmtId="0"/>
    <xf applyAlignment="0" applyBorder="0" applyFill="1" applyFont="1" applyNumberFormat="0" applyProtection="0" borderId="0" fillId="24" fontId="1" numFmtId="0"/>
    <xf applyAlignment="0" applyBorder="0" applyFill="1" applyFont="1" applyNumberFormat="0" applyProtection="0" borderId="0" fillId="25" fontId="1" numFmtId="0"/>
    <xf applyAlignment="0" applyBorder="0" applyFill="0" applyFont="0" applyNumberFormat="1" applyProtection="0" borderId="0" fillId="0" fontId="1" numFmtId="9"/>
    <xf applyAlignment="0" applyBorder="0" applyFill="0" applyFont="0" applyNumberFormat="1" applyProtection="1" borderId="0" fillId="0" fontId="1" numFmtId="10"/>
    <xf applyAlignment="1" applyBorder="1" applyFill="1" applyFont="1" applyNumberFormat="0" applyProtection="0" borderId="11" fillId="26" fontId="28" numFmtId="167">
      <alignment horizontal="center" vertical="center" wrapText="1"/>
    </xf>
    <xf applyAlignment="1" applyBorder="0" applyFill="0" applyFont="0" applyNumberFormat="0" applyProtection="0" borderId="0" fillId="0" fontId="1" numFmtId="9">
      <alignment horizontal="left" vertical="center" wrapText="1"/>
    </xf>
    <xf applyAlignment="0" applyBorder="1" applyFill="0" applyFont="0" applyNumberFormat="0" applyProtection="1" borderId="12" fillId="0" fontId="1" numFmtId="9"/>
    <xf applyAlignment="1" applyBorder="1" applyFill="0" applyFont="1" applyNumberFormat="0" applyProtection="0" borderId="13" fillId="0" fontId="28" numFmtId="167">
      <alignment horizontal="center" vertical="center" wrapText="1"/>
    </xf>
    <xf applyAlignment="0" applyBorder="1" applyFill="1" applyFont="0" applyNumberFormat="0" applyProtection="1" borderId="14" fillId="26" fontId="1" numFmtId="167"/>
    <xf applyAlignment="1" applyBorder="1" applyFill="0" applyFont="1" applyNumberFormat="1" applyProtection="1" borderId="15" fillId="27" fontId="28" numFmtId="0">
      <alignment horizontal="center" vertical="center" wrapText="1"/>
    </xf>
    <xf applyAlignment="1" applyBorder="0" applyFill="0" applyFont="1" applyNumberFormat="0" applyProtection="0" borderId="0" fillId="0" fontId="29" numFmtId="167">
      <alignment horizontal="right"/>
    </xf>
    <xf applyAlignment="0" applyBorder="0" applyFill="0" applyFont="1" applyNumberFormat="0" applyProtection="0" borderId="0" fillId="0" fontId="27" numFmtId="9"/>
    <xf applyAlignment="1" applyBorder="1" applyFill="0" applyFont="1" applyNumberFormat="0" applyProtection="1" borderId="12" fillId="0" fontId="28" numFmtId="0">
      <alignment horizontal="left" vertical="center"/>
    </xf>
    <xf applyAlignment="0" applyBorder="0" applyFill="0" applyFont="1" applyNumberFormat="0" applyProtection="1" borderId="0" fillId="0" fontId="30" numFmtId="9"/>
    <xf applyAlignment="1" applyBorder="0" applyFill="0" applyFont="0" applyNumberFormat="0" applyProtection="1" borderId="0" fillId="0" fontId="1" numFmtId="0">
      <alignment horizontal="center" vertical="center" wrapText="1"/>
    </xf>
    <xf applyAlignment="0" applyBorder="1" applyFill="0" applyFont="1" applyNumberFormat="0" applyProtection="1" borderId="14" fillId="0" fontId="28" numFmtId="0"/>
    <xf applyAlignment="0" applyBorder="1" applyFill="1" applyFont="1" applyNumberFormat="0" applyProtection="1" borderId="1" fillId="28" fontId="27" numFmtId="9"/>
    <xf applyAlignment="1" applyBorder="0" applyFill="0" applyFont="1" applyNumberFormat="1" applyProtection="0" borderId="0" fillId="0" fontId="28" numFmtId="3">
      <alignment horizontal="right" vertical="center"/>
    </xf>
    <xf applyAlignment="1" applyBorder="0" applyFill="0" applyFont="1" applyNumberFormat="0" applyProtection="0" borderId="0" fillId="0" fontId="28" numFmtId="167">
      <alignment horizontal="left"/>
    </xf>
    <xf applyAlignment="1" applyBorder="0" applyFill="0" applyFont="1" applyNumberFormat="0" applyProtection="0" borderId="0" fillId="0" fontId="28" numFmtId="0">
      <alignment horizontal="right" vertical="center" wrapText="1"/>
    </xf>
    <xf applyAlignment="1" applyBorder="0" applyFill="1" applyFont="1" applyNumberFormat="0" applyProtection="0" borderId="0" fillId="29" fontId="29" numFmtId="9">
      <alignment horizontal="right" vertical="center"/>
    </xf>
    <xf applyAlignment="1" applyBorder="0" applyFill="1" applyFont="1" applyNumberFormat="0" applyProtection="0" borderId="0" fillId="29" fontId="29" numFmtId="9">
      <alignment horizontal="left" vertical="center" wrapText="1"/>
    </xf>
    <xf applyAlignment="0" applyBorder="0" applyFill="0" applyFont="1" applyNumberFormat="0" applyProtection="1" borderId="10" fillId="29" fontId="29" numFmtId="167"/>
    <xf applyAlignment="1" applyBorder="0" applyFill="0" applyFont="1" applyNumberFormat="0" applyProtection="1" borderId="16" fillId="29" fontId="29" numFmtId="168">
      <alignment horizontal="left" vertical="center"/>
    </xf>
    <xf applyAlignment="1" applyBorder="1" applyFill="1" applyFont="1" applyNumberFormat="0" applyProtection="1" borderId="17" fillId="29" fontId="29" numFmtId="167">
      <alignment horizontal="right"/>
    </xf>
    <xf applyAlignment="1" applyBorder="1" applyFill="1" applyFont="1" applyNumberFormat="1" applyProtection="1" borderId="17" fillId="29" fontId="29" numFmtId="49">
      <alignment horizontal="left"/>
    </xf>
    <xf applyAlignment="1" applyBorder="1" applyFill="1" applyFont="1" applyNumberFormat="0" applyProtection="1" borderId="12" fillId="29" fontId="29" numFmtId="9">
      <alignment horizontal="left" vertical="center" wrapText="1"/>
    </xf>
    <xf applyAlignment="1" applyBorder="1" applyFill="0" applyFont="1" applyNumberFormat="0" applyProtection="1" borderId="18" fillId="0" fontId="29" numFmtId="9">
      <alignment horizontal="left"/>
    </xf>
    <xf applyAlignment="0" applyBorder="0" applyFill="0" applyFont="1" applyNumberFormat="0" applyProtection="1" borderId="0" fillId="0" fontId="30" numFmtId="9"/>
    <xf applyAlignment="0" applyBorder="0" applyFill="0" applyFont="0" applyNumberFormat="1" applyProtection="1" borderId="0" fillId="0" fontId="1" numFmtId="166"/>
    <xf applyAlignment="0" applyBorder="0" applyFill="0" applyFont="0" applyNumberFormat="1" applyProtection="1" borderId="0" fillId="0" fontId="1" numFmtId="169"/>
    <xf applyAlignment="1" applyBorder="1" applyFill="0" applyFont="1" applyNumberFormat="0" applyProtection="1" borderId="19" fillId="0" fontId="29" numFmtId="9"/>
    <xf applyAlignment="0" applyBorder="0" applyFill="0" applyFont="1" applyNumberFormat="0" applyProtection="1" borderId="0" fillId="0" fontId="32" numFmtId="9"/>
    <xf applyAlignment="1" applyBorder="1" applyFill="1" applyFont="1" applyNumberFormat="0" applyProtection="1" borderId="12" fillId="29" fontId="29" numFmtId="9">
      <alignment horizontal="right" vertical="center"/>
    </xf>
    <xf applyAlignment="0" applyBorder="0" applyFill="0" applyFont="0" applyNumberFormat="1" applyProtection="1" borderId="0" fillId="0" fontId="1" numFmtId="171"/>
    <xf applyAlignment="1" applyBorder="0" applyFill="0" applyFont="1" applyNumberFormat="0" applyProtection="0" borderId="0" fillId="0" fontId="33" numFmtId="0">
      <alignment horizontal="right"/>
    </xf>
    <xf applyAlignment="0" applyBorder="0" applyFill="0" applyFont="0" applyNumberFormat="1" applyProtection="0" borderId="0" fillId="0" fontId="1" numFmtId="165"/>
    <xf applyAlignment="0" applyBorder="0" applyFill="0" applyFont="0" applyNumberFormat="1" applyProtection="0" borderId="0" fillId="0" fontId="1" numFmtId="164"/>
    <xf applyAlignment="1" applyBorder="0" applyFill="0" applyFont="0" applyNumberFormat="0" applyProtection="0" borderId="0" fillId="0" fontId="1" numFmtId="9">
      <alignment horizontal="center"/>
    </xf>
    <xf applyAlignment="1" applyBorder="0" applyFill="0" applyFont="0" applyNumberFormat="0" applyProtection="0" borderId="0" fillId="0" fontId="1" numFmtId="9">
      <alignment horizontal="left"/>
    </xf>
    <xf applyAlignment="0" applyBorder="0" applyFill="1" applyFont="0" applyNumberFormat="0" applyProtection="0" borderId="0" fillId="8" fontId="1" numFmtId="9"/>
    <xf applyAlignment="0" applyBorder="0" applyFill="0" applyFont="1" applyNumberFormat="0" applyProtection="0" borderId="0" fillId="0" fontId="4" numFmtId="9"/>
    <xf applyAlignment="0" applyBorder="0" applyFill="0" applyFont="1" applyNumberFormat="0" applyProtection="0" borderId="0" fillId="0" fontId="5" numFmtId="9"/>
    <xf applyAlignment="1" applyBorder="0" applyFill="0" applyFont="1" applyNumberFormat="1" applyProtection="0" borderId="0" fillId="0" fontId="4" numFmtId="37">
      <alignment horizontal="right" vertical="center"/>
    </xf>
    <xf applyAlignment="0" applyBorder="0" applyFill="0" applyFont="1" applyNumberFormat="0" applyProtection="0" borderId="0" fillId="0" fontId="35" numFmtId="0"/>
    <xf applyAlignment="0" applyBorder="0" applyFill="0" applyFont="0" applyNumberFormat="1" applyProtection="0" borderId="0" fillId="0" fontId="33" numFmtId="2">
      <alignment horizontal="left"/>
    </xf>
    <xf applyAlignment="1" applyBorder="1" applyFill="1" applyFont="1" applyNumberFormat="1" applyProtection="1" borderId="0" fillId="0" fontId="36" numFmtId="0">
      <alignment horizontal="center" vertical="center"/>
    </xf>
    <xf applyAlignment="1" applyBorder="1" applyFill="0" applyFont="1" applyNumberFormat="1" applyProtection="0" borderId="20" fillId="0" fontId="36" numFmtId="0">
      <alignment horizontal="center" vertical="center"/>
    </xf>
    <xf applyAlignment="1" applyBorder="1" applyFill="0" applyFont="1" applyNumberFormat="0" applyProtection="1" borderId="0" fillId="0" fontId="29" numFmtId="9"/>
    <xf applyAlignment="0" applyBorder="1" applyFill="0" applyFont="1" applyNumberFormat="0" applyProtection="1" borderId="0" fillId="0" fontId="38" numFmtId="9"/>
    <xf applyAlignment="1" applyBorder="0" applyFill="0" applyFont="0" applyNumberFormat="0" applyProtection="0" borderId="0" fillId="0" fontId="1" numFmtId="9">
      <alignment horizontal="center" vertical="center"/>
    </xf>
    <xf applyAlignment="0" applyBorder="0" applyFill="0" applyFont="1" applyNumberFormat="0" applyProtection="0" borderId="0" fillId="0" fontId="39" numFmtId="9"/>
    <xf applyAlignment="1" applyBorder="0" applyFill="0" applyFont="1" applyNumberFormat="1" applyProtection="0" borderId="0" fillId="0" fontId="42" numFmtId="9">
      <alignment horizontal="center" vertical="center"/>
    </xf>
    <xf applyAlignment="1" applyBorder="0" applyFill="0" applyFont="1" applyNumberFormat="1" applyProtection="0" borderId="0" fillId="0" fontId="43" numFmtId="1">
      <alignment horizontal="center" vertical="center"/>
    </xf>
    <xf applyAlignment="0" applyBorder="0" applyFill="0" applyFont="0" applyNumberFormat="1" applyProtection="0" borderId="0" fillId="0" fontId="1" numFmtId="9"/>
  </cellStyleXfs>
  <cellXfs count="214">
    <xf applyBorder="true" borderId="0" fillId="0" fontId="0" numFmtId="0" xfId="0"/>
    <xf applyProtection="1" borderId="0" fillId="0" fontId="0" numFmtId="0" xfId="0"/>
    <xf applyBorder="1" applyFill="1" applyProtection="1" borderId="0" fillId="0" fontId="0" numFmtId="0" xfId="0"/>
    <xf applyAlignment="1" applyFont="1" applyProtection="1" borderId="0" fillId="0" fontId="23" numFmtId="0" xfId="0"/>
    <xf applyBorder="1" applyFill="1" borderId="0" fillId="0" fontId="0" numFmtId="0" xfId="0"/>
    <xf applyAlignment="1" applyProtection="1" borderId="0" fillId="0" fontId="0" numFmtId="0" xfId="0">
      <alignment horizontal="center"/>
    </xf>
    <xf applyFont="1" applyNumberFormat="1" applyProtection="1" borderId="0" fillId="0" fontId="24" numFmtId="10" xfId="0"/>
    <xf applyFont="1" applyNumberFormat="1" applyProtection="1" borderId="0" fillId="0" fontId="25" numFmtId="10" xfId="0"/>
    <xf applyProtection="1" borderId="0" fillId="0" fontId="0" numFmtId="0" quotePrefix="1" xfId="0"/>
    <xf applyBorder="1" applyFill="1" applyProtection="1" borderId="0" fillId="0" fontId="0" numFmtId="0" quotePrefix="1" xfId="0"/>
    <xf applyBorder="1" applyFill="1" applyNumberFormat="1" applyProtection="1" borderId="0" fillId="0" fontId="0" numFmtId="3" xfId="0"/>
    <xf applyAlignment="1" applyFont="1" applyProtection="1" borderId="0" fillId="0" fontId="10" numFmtId="0" quotePrefix="1" xfId="0">
      <alignment horizontal="left"/>
    </xf>
    <xf applyAlignment="1" applyFont="1" borderId="0" fillId="0" fontId="26" numFmtId="0" xfId="0">
      <alignment horizontal="left"/>
    </xf>
    <xf applyBorder="1" applyFill="1" borderId="0" fillId="0" fontId="0" numFmtId="0" quotePrefix="1" xfId="0"/>
    <xf applyFill="1" borderId="15" fillId="0" fontId="28" numFmtId="0" quotePrefix="1" xfId="54">
      <alignment horizontal="center" vertical="center" wrapText="1"/>
    </xf>
    <xf applyAlignment="1" applyNumberFormat="1" borderId="1" fillId="28" fontId="27" numFmtId="0" quotePrefix="1" xfId="61">
      <alignment horizontal="center" vertical="center" wrapText="1"/>
    </xf>
    <xf applyAlignment="1" applyBorder="true" applyFont="1" applyNumberFormat="1" borderId="12" fillId="0" fontId="28" numFmtId="0" quotePrefix="1" xfId="51">
      <alignment horizontal="left"/>
    </xf>
    <xf applyAlignment="1" applyFont="1" applyNumberFormat="1" borderId="12" fillId="0" fontId="28" numFmtId="3" xfId="51">
      <alignment horizontal="right" vertical="center"/>
    </xf>
    <xf applyAlignment="1" applyFill="1" applyFont="1" applyNumberFormat="1" borderId="12" fillId="28" fontId="27" numFmtId="3" xfId="51">
      <alignment horizontal="right" vertical="center"/>
    </xf>
    <xf applyAlignment="1" applyBorder="1" applyFill="1" applyNumberFormat="1" borderId="12" fillId="0" fontId="29" numFmtId="3" xfId="67">
      <alignment horizontal="right" vertical="center"/>
    </xf>
    <xf applyAlignment="1" applyBorder="1" applyFill="1" applyNumberFormat="1" borderId="12" fillId="28" fontId="29" numFmtId="3" xfId="67">
      <alignment horizontal="right" vertical="center"/>
    </xf>
    <xf applyNumberFormat="1" borderId="17" fillId="29" fontId="29" numFmtId="3" xfId="69">
      <alignment horizontal="right"/>
    </xf>
    <xf applyBorder="1" applyFill="1" applyNumberFormat="1" borderId="12" fillId="0" fontId="29" numFmtId="0" quotePrefix="1" xfId="68">
      <alignment horizontal="left" vertical="center"/>
    </xf>
    <xf borderId="17" fillId="29" fontId="29" numFmtId="49" quotePrefix="1" xfId="70">
      <alignment horizontal="left"/>
    </xf>
    <xf applyAlignment="1" applyFont="1" applyProtection="1" borderId="0" fillId="0" fontId="3" numFmtId="0" quotePrefix="1" xfId="0">
      <alignment vertical="center"/>
    </xf>
    <xf applyNumberFormat="1" borderId="12" fillId="29" fontId="29" numFmtId="0" quotePrefix="1" xfId="71">
      <alignment horizontal="left" vertical="center" wrapText="1"/>
    </xf>
    <xf applyNumberFormat="1" borderId="12" fillId="29" fontId="29" numFmtId="3" xfId="78">
      <alignment horizontal="right" vertical="center"/>
    </xf>
    <xf applyAlignment="1" applyBorder="1" applyFont="1" borderId="12" fillId="0" fontId="28" numFmtId="166" xfId="74">
      <alignment horizontal="right" vertical="center"/>
    </xf>
    <xf applyAlignment="1" applyBorder="1" applyFill="1" applyFont="1" borderId="12" fillId="0" fontId="29" numFmtId="166" xfId="74">
      <alignment horizontal="right" vertical="center"/>
    </xf>
    <xf applyAlignment="1" applyBorder="1" applyFill="1" applyFont="1" borderId="17" fillId="29" fontId="29" numFmtId="166" xfId="74">
      <alignment horizontal="right"/>
    </xf>
    <xf applyAlignment="1" applyFont="1" applyProtection="1" borderId="0" fillId="0" fontId="31" numFmtId="0" quotePrefix="1" xfId="0">
      <alignment horizontal="left" vertical="center"/>
    </xf>
    <xf applyBorder="1" borderId="12" fillId="0" fontId="28" numFmtId="3" xfId="62">
      <alignment horizontal="right" vertical="center"/>
    </xf>
    <xf applyAlignment="1" applyBorder="1" applyProtection="1" borderId="0" fillId="0" fontId="0" numFmtId="0" xfId="0">
      <alignment horizontal="right"/>
    </xf>
    <xf applyBorder="1" applyProtection="1" borderId="0" fillId="0" fontId="0" numFmtId="0" xfId="0"/>
    <xf applyAlignment="1" applyNumberFormat="1" borderId="1" fillId="28" fontId="27" numFmtId="0" xfId="61">
      <alignment horizontal="center" vertical="center" wrapText="1"/>
    </xf>
    <xf applyBorder="1" applyFill="1" borderId="12" fillId="28" fontId="28" numFmtId="3" xfId="62">
      <alignment horizontal="right" vertical="center"/>
    </xf>
    <xf applyAlignment="1" applyFont="1" applyNumberFormat="1" borderId="12" fillId="0" fontId="29" numFmtId="0" quotePrefix="1" xfId="51">
      <alignment horizontal="left"/>
    </xf>
    <xf applyAlignment="1" applyFont="1" applyNumberFormat="1" borderId="12" fillId="0" fontId="29" numFmtId="3" xfId="51">
      <alignment horizontal="right" vertical="center"/>
    </xf>
    <xf applyAlignment="1" applyFill="1" applyFont="1" applyNumberFormat="1" borderId="12" fillId="28" fontId="37" numFmtId="3" xfId="51">
      <alignment horizontal="right" vertical="center"/>
    </xf>
    <xf applyNumberFormat="1" borderId="0" fillId="0" fontId="29" numFmtId="0" xfId="93"/>
    <xf applyAlignment="1" applyNumberFormat="1" borderId="0" fillId="0" fontId="38" numFmtId="3" xfId="94">
      <alignment horizontal="right" vertical="center"/>
    </xf>
    <xf applyAlignment="1" applyFill="1" applyNumberFormat="1" borderId="0" fillId="28" fontId="38" numFmtId="3" xfId="94">
      <alignment horizontal="right" vertical="center"/>
    </xf>
    <xf applyAlignment="1" applyBorder="1" applyFont="1" applyProtection="1" borderId="0" fillId="0" fontId="40" numFmtId="0" quotePrefix="1" xfId="0">
      <alignment horizontal="left"/>
    </xf>
    <xf applyAlignment="1" applyBorder="1" applyFont="1" applyProtection="1" borderId="0" fillId="0" fontId="41" numFmtId="0" quotePrefix="1" xfId="0">
      <alignment horizontal="left"/>
    </xf>
    <xf applyAlignment="1" applyBorder="1" applyFont="1" applyNumberFormat="1" borderId="0" fillId="0" fontId="29" numFmtId="0" quotePrefix="1" xfId="51">
      <alignment horizontal="left"/>
    </xf>
    <xf applyAlignment="1" applyBorder="1" applyFont="1" applyProtection="1" borderId="0" fillId="0" fontId="31" numFmtId="0" quotePrefix="1" xfId="0">
      <alignment vertical="top"/>
    </xf>
    <xf applyNumberFormat="1" applyProtection="1" borderId="0" fillId="0" fontId="0" numFmtId="22" xfId="0"/>
    <xf applyNumberFormat="1" applyProtection="1" borderId="0" fillId="0" fontId="0" numFmtId="4" xfId="0"/>
    <xf applyNumberFormat="1" borderId="0" fillId="0" fontId="0" numFmtId="4" xfId="0"/>
    <xf borderId="0" fillId="0" fontId="0" numFmtId="0" quotePrefix="1" xfId="0"/>
    <xf applyBorder="1" applyFill="1" applyFont="1" borderId="0" fillId="29" fontId="26" numFmtId="0" quotePrefix="1" xfId="0"/>
    <xf applyBorder="1" applyFill="1" applyFont="1" borderId="23" fillId="29" fontId="26" numFmtId="0" quotePrefix="1" xfId="0"/>
    <xf applyBorder="1" applyFill="1" applyFont="1" applyNumberFormat="1" borderId="23" fillId="29" fontId="26" numFmtId="4" quotePrefix="1" xfId="0"/>
    <xf applyBorder="1" applyFill="1" applyFont="1" borderId="0" fillId="0" fontId="26" numFmtId="0" quotePrefix="1" xfId="0"/>
    <xf applyBorder="1" applyFill="1" applyFont="1" applyNumberFormat="1" borderId="0" fillId="0" fontId="26" numFmtId="4" quotePrefix="1" xfId="0"/>
    <xf applyBorder="1" applyFill="1" applyNumberFormat="1" applyProtection="1" borderId="0" fillId="0" fontId="0" numFmtId="4" xfId="0"/>
    <xf applyFill="1" borderId="0" fillId="0" fontId="0" numFmtId="0" xfId="0"/>
    <xf applyFill="1" borderId="0" fillId="0" fontId="0" numFmtId="0" quotePrefix="1" xfId="0"/>
    <xf applyAlignment="1" applyBorder="1" applyFont="1" applyProtection="1" borderId="0" fillId="0" fontId="44" numFmtId="0" quotePrefix="1" xfId="0">
      <alignment horizontal="right" vertical="center"/>
    </xf>
    <xf applyAlignment="1" applyBorder="1" applyFont="1" applyProtection="1" borderId="0" fillId="0" fontId="44" numFmtId="0" quotePrefix="1" xfId="0">
      <alignment horizontal="center" vertical="center"/>
    </xf>
    <xf applyAlignment="1" applyProtection="1" borderId="0" fillId="0" fontId="0" numFmtId="0" xfId="0"/>
    <xf applyAlignment="1" applyFont="1" applyProtection="1" borderId="0" fillId="0" fontId="4" numFmtId="0" xfId="0">
      <alignment horizontal="left" vertical="center"/>
    </xf>
    <xf applyAlignment="1" applyBorder="1" applyFont="1" applyProtection="1" borderId="0" fillId="0" fontId="8" numFmtId="0" quotePrefix="1" xfId="0">
      <alignment vertical="center"/>
    </xf>
    <xf applyFont="1" applyProtection="1" borderId="0" fillId="0" fontId="2" numFmtId="0" xfId="0"/>
    <xf applyAlignment="1" applyBorder="1" applyFont="1" applyProtection="1" borderId="0" fillId="0" fontId="47" numFmtId="0" xfId="0"/>
    <xf applyAlignment="1" applyBorder="1" applyFill="1" applyFont="1" applyProtection="1" borderId="0" fillId="0" fontId="47" numFmtId="0" xfId="0">
      <alignment horizontal="right"/>
    </xf>
    <xf applyAlignment="1" applyFont="1" applyProtection="1" borderId="0" fillId="0" fontId="2" numFmtId="0" xfId="0"/>
    <xf applyFill="1" applyFont="1" applyProtection="1" borderId="0" fillId="0" fontId="2" numFmtId="0" xfId="0"/>
    <xf applyFill="1" applyProtection="1" borderId="0" fillId="0" fontId="0" numFmtId="0" xfId="0"/>
    <xf applyFill="1" applyFont="1" applyProtection="1" borderId="0" fillId="0" fontId="48" numFmtId="0" xfId="0"/>
    <xf applyFill="1" applyFont="1" applyNumberFormat="1" applyProtection="1" borderId="0" fillId="0" fontId="49" numFmtId="3" xfId="0"/>
    <xf applyFill="1" applyFont="1" applyProtection="1" borderId="0" fillId="0" fontId="49" numFmtId="0" xfId="0"/>
    <xf applyAlignment="1" applyBorder="1" applyFont="1" applyProtection="1" borderId="0" fillId="0" fontId="34" numFmtId="0" quotePrefix="1" xfId="0">
      <alignment horizontal="right" wrapText="1"/>
    </xf>
    <xf applyAlignment="1" applyBorder="1" applyFill="1" applyNumberFormat="1" borderId="12" fillId="0" fontId="29" numFmtId="3" quotePrefix="1" xfId="67">
      <alignment horizontal="right" vertical="center"/>
    </xf>
    <xf applyAlignment="1" applyBorder="1" applyFont="1" applyNumberFormat="1" borderId="0" fillId="0" fontId="29" numFmtId="10" xfId="99">
      <alignment horizontal="left"/>
    </xf>
    <xf applyAlignment="1" applyBorder="1" applyFill="1" applyFont="1" borderId="0" fillId="0" fontId="50" numFmtId="0" xfId="32"/>
    <xf applyNumberFormat="1" borderId="0" fillId="0" fontId="0" numFmtId="3" xfId="0"/>
    <xf applyAlignment="1" applyBorder="1" applyFill="1" applyFont="1" applyNumberFormat="1" borderId="0" fillId="0" fontId="28" numFmtId="0" xfId="51">
      <alignment horizontal="left"/>
    </xf>
    <xf applyAlignment="1" applyBorder="1" applyFont="1" applyNumberFormat="1" borderId="0" fillId="0" fontId="28" numFmtId="0" quotePrefix="1" xfId="51">
      <alignment horizontal="left" vertical="center" wrapText="1"/>
    </xf>
    <xf applyAlignment="1" applyFont="1" applyNumberFormat="1" borderId="0" fillId="0" fontId="26" numFmtId="22" xfId="0">
      <alignment horizontal="left"/>
    </xf>
    <xf applyAlignment="1" applyBorder="1" applyFill="1" applyFont="1" borderId="0" fillId="0" fontId="5" numFmtId="0" xfId="54">
      <alignment horizontal="center" vertical="center" wrapText="1"/>
    </xf>
    <xf applyAlignment="1" applyBorder="1" applyFont="1" borderId="0" fillId="0" fontId="46" numFmtId="0" quotePrefix="1" xfId="0">
      <alignment horizontal="center" vertical="center" wrapText="1"/>
    </xf>
    <xf applyAlignment="1" applyFont="1" applyProtection="1" borderId="0" fillId="0" fontId="31" numFmtId="0" quotePrefix="1" xfId="0">
      <alignment horizontal="left"/>
    </xf>
    <xf applyAlignment="1" applyBorder="1" applyFont="1" applyProtection="1" borderId="0" fillId="0" fontId="45" numFmtId="0" quotePrefix="1" xfId="0">
      <alignment vertical="center"/>
    </xf>
    <xf applyAlignment="1" applyBorder="1" applyFill="1" borderId="21" fillId="0" fontId="28" numFmtId="0" quotePrefix="1" xfId="54">
      <alignment horizontal="center" vertical="center" wrapText="1"/>
    </xf>
    <xf applyAlignment="1" applyBorder="1" applyFill="1" borderId="19" fillId="0" fontId="28" numFmtId="0" quotePrefix="1" xfId="54">
      <alignment horizontal="center" vertical="center" wrapText="1"/>
    </xf>
    <xf applyAlignment="1" applyBorder="1" applyFill="1" borderId="22" fillId="0" fontId="28" numFmtId="0" quotePrefix="1" xfId="54">
      <alignment horizontal="center" vertical="center" wrapText="1"/>
    </xf>
    <xf applyAlignment="1" applyFont="1" applyProtection="1" borderId="0" fillId="0" fontId="44" numFmtId="0" quotePrefix="1" xfId="0">
      <alignment horizontal="right" vertical="center"/>
    </xf>
    <xf applyFill="true" applyFont="true" applyNumberFormat="true" borderId="0" fillId="30" fontId="52" numFmtId="0" xfId="0">
      <alignment horizontal="general" indent="0" textRotation="0" vertical="bottom" wrapText="false"/>
      <protection hidden="false" locked="true"/>
    </xf>
    <xf applyBorder="true" applyFill="true" applyFont="true" applyNumberFormat="true" borderId="25" fillId="30" fontId="54" numFmtId="0" xfId="0">
      <alignment horizontal="general" indent="0" textRotation="0" vertical="bottom" wrapText="false"/>
      <protection hidden="false" locked="true"/>
    </xf>
    <xf applyBorder="true" applyFill="true" applyFont="true" applyNumberFormat="true" borderId="27" fillId="33" fontId="55" numFmtId="49" xfId="0">
      <alignment horizontal="left" indent="0" textRotation="0" vertical="bottom" wrapText="false"/>
      <protection hidden="false" locked="true"/>
    </xf>
    <xf borderId="0" fillId="0" fontId="0" numFmtId="0" xfId="0">
      <alignment horizontal="left" indent="2" textRotation="0" vertical="bottom" wrapText="false"/>
    </xf>
    <xf applyFill="true" applyFont="true" borderId="0" fillId="33" fontId="56" numFmtId="0" xfId="0">
      <alignment horizontal="left" indent="0" textRotation="0" vertical="center" wrapText="true"/>
    </xf>
    <xf applyNumberFormat="true" borderId="0" fillId="0" fontId="0" numFmtId="166" xfId="0">
      <protection hidden="false" locked="true"/>
    </xf>
    <xf applyFill="true" applyFont="true" borderId="0" fillId="36" fontId="57" numFmtId="0" xfId="0"/>
    <xf applyFill="true" applyFont="true" borderId="0" fillId="38" fontId="58" numFmtId="0" xfId="0"/>
    <xf applyFill="true" applyFont="true" borderId="0" fillId="40" fontId="59" numFmtId="0" xfId="0"/>
    <xf applyFill="true" applyFont="true" borderId="0" fillId="42" fontId="60" numFmtId="0" xfId="0"/>
    <xf applyFill="true" applyFont="true" borderId="0" fillId="44" fontId="61" numFmtId="0" xfId="0"/>
    <xf applyNumberFormat="true" borderId="0" fillId="0" fontId="0" numFmtId="2" xfId="0"/>
    <xf applyBorder="true" applyFont="true" applyNumberFormat="true" borderId="31" fillId="0" fontId="62" numFmtId="0" xfId="0">
      <alignment horizontal="center" indent="0" textRotation="0" vertical="center" wrapText="false"/>
    </xf>
    <xf applyFont="true" borderId="0" fillId="0" fontId="63" numFmtId="0" xfId="0">
      <alignment horizontal="right" indent="0" textRotation="0" vertical="center" wrapText="true"/>
    </xf>
    <xf applyNumberFormat="true" borderId="0" fillId="0" fontId="0" numFmtId="170" xfId="0">
      <protection hidden="false" locked="true"/>
    </xf>
    <xf applyFont="true" borderId="0" fillId="0" fontId="64" numFmtId="0" xfId="0"/>
    <xf applyNumberFormat="true" borderId="0" fillId="0" fontId="0" numFmtId="9" xfId="0"/>
    <xf applyBorder="true" applyFont="true" borderId="33" fillId="0" fontId="65" numFmtId="0" xfId="0">
      <alignment horizontal="center" indent="0" textRotation="0" vertical="center" wrapText="true"/>
      <protection hidden="false" locked="true"/>
    </xf>
    <xf applyNumberFormat="true" borderId="0" fillId="0" fontId="0" numFmtId="165" xfId="0"/>
    <xf applyNumberFormat="true" borderId="0" fillId="0" fontId="0" numFmtId="169" xfId="0">
      <protection hidden="false" locked="true"/>
    </xf>
    <xf applyFont="true" borderId="0" fillId="0" fontId="66" numFmtId="0" xfId="0">
      <alignment horizontal="general" indent="0" textRotation="0" vertical="bottom" wrapText="false"/>
      <protection hidden="false" locked="true"/>
    </xf>
    <xf applyFill="true" applyFont="true" borderId="0" fillId="46" fontId="67" numFmtId="0" xfId="0"/>
    <xf applyBorder="true" applyFill="true" applyFont="true" borderId="27" fillId="33" fontId="68" numFmtId="0" xfId="0">
      <alignment horizontal="right" indent="0" textRotation="0" vertical="bottom" wrapText="false"/>
      <protection hidden="false" locked="true"/>
    </xf>
    <xf applyFill="true" applyFont="true" borderId="0" fillId="33" fontId="69" numFmtId="0" xfId="0">
      <alignment horizontal="right" indent="0" textRotation="0" vertical="center" wrapText="false"/>
    </xf>
    <xf applyFill="true" applyFont="true" borderId="0" fillId="48" fontId="70" numFmtId="0" xfId="0"/>
    <xf applyNumberFormat="true" borderId="0" fillId="0" fontId="0" numFmtId="172" xfId="0"/>
    <xf applyBorder="true" applyFont="true" borderId="33" fillId="0" fontId="71" numFmtId="0" xfId="0">
      <alignment horizontal="general" indent="0" textRotation="0" vertical="bottom" wrapText="false"/>
      <protection hidden="false" locked="true"/>
    </xf>
    <xf applyFont="true" borderId="0" fillId="0" fontId="72" numFmtId="0" xfId="0">
      <alignment horizontal="left" indent="0" textRotation="0" vertical="bottom" wrapText="false"/>
    </xf>
    <xf applyFont="true" borderId="0" fillId="0" fontId="73" numFmtId="0" xfId="0"/>
    <xf applyBorder="true" applyFill="true" applyFont="true" borderId="25" fillId="33" fontId="74" numFmtId="0" xfId="0">
      <alignment horizontal="left" indent="0" textRotation="0" vertical="center" wrapText="true"/>
      <protection hidden="false" locked="true"/>
    </xf>
    <xf applyFill="true" applyFont="true" borderId="0" fillId="50" fontId="75" numFmtId="0" xfId="0"/>
    <xf applyBorder="true" applyFill="true" applyFont="true" borderId="38" fillId="52" fontId="76" numFmtId="0" xfId="0">
      <alignment horizontal="center" indent="0" textRotation="0" vertical="center" wrapText="true"/>
    </xf>
    <xf applyFont="true" applyNumberFormat="true" borderId="0" fillId="0" fontId="77" numFmtId="37" xfId="0">
      <alignment horizontal="right" indent="0" textRotation="0" vertical="center" wrapText="false"/>
    </xf>
    <xf applyNumberFormat="true" borderId="0" fillId="0" fontId="0" numFmtId="164" xfId="0"/>
    <xf applyFill="true" applyFont="true" borderId="0" fillId="54" fontId="78" numFmtId="0" xfId="0"/>
    <xf applyFill="true" applyFont="true" borderId="0" fillId="56" fontId="79" numFmtId="0" xfId="0"/>
    <xf applyFill="true" applyFont="true" borderId="0" fillId="58" fontId="80" numFmtId="0" xfId="0"/>
    <xf applyNumberFormat="true" borderId="0" fillId="0" fontId="0" numFmtId="171" xfId="0">
      <protection hidden="false" locked="true"/>
    </xf>
    <xf applyBorder="true" applyFont="true" borderId="39" fillId="0" fontId="81" numFmtId="0" xfId="0">
      <alignment horizontal="center" indent="0" textRotation="0" vertical="center" wrapText="true"/>
    </xf>
    <xf applyFont="true" borderId="0" fillId="0" fontId="82" numFmtId="0" xfId="0"/>
    <xf applyBorder="true" borderId="25" fillId="0" fontId="0" numFmtId="0" xfId="0">
      <protection hidden="false" locked="true"/>
    </xf>
    <xf applyBorder="true" applyFont="true" borderId="41" fillId="0" fontId="83" numFmtId="0" xfId="0">
      <alignment horizontal="left" indent="0" textRotation="0" vertical="bottom" wrapText="false"/>
      <protection hidden="false" locked="true"/>
    </xf>
    <xf applyFill="true" applyFont="true" applyNumberFormat="true" borderId="0" fillId="30" fontId="84" numFmtId="0" xfId="0">
      <alignment horizontal="general" indent="0" textRotation="0" vertical="bottom" wrapText="false"/>
      <protection hidden="false" locked="true"/>
    </xf>
    <xf applyFont="true" borderId="0" fillId="0" fontId="85" numFmtId="0" xfId="0">
      <protection hidden="false" locked="true"/>
    </xf>
    <xf applyBorder="true" applyFill="true" applyFont="true" borderId="48" fillId="60" fontId="86" numFmtId="0" xfId="0"/>
    <xf applyFont="true" borderId="0" fillId="0" fontId="87" numFmtId="0" xfId="0">
      <alignment horizontal="right" indent="0" textRotation="0" vertical="bottom" wrapText="false"/>
    </xf>
    <xf applyBorder="true" applyFill="true" borderId="55" fillId="62" fontId="0" numFmtId="0" xfId="0"/>
    <xf applyFill="true" applyFont="true" applyNumberFormat="true" borderId="0" fillId="30" fontId="88" numFmtId="0" xfId="0">
      <alignment horizontal="center" indent="0" textRotation="0" vertical="center" wrapText="false"/>
      <protection hidden="false" locked="true"/>
    </xf>
    <xf applyBorder="true" applyFont="true" borderId="56" fillId="0" fontId="89" numFmtId="0" xfId="0"/>
    <xf applyFont="true" borderId="0" fillId="0" fontId="90" numFmtId="0" xfId="0"/>
    <xf applyFont="true" borderId="0" fillId="0" fontId="91" numFmtId="0" xfId="0">
      <alignment horizontal="left" indent="1" textRotation="0" vertical="bottom" wrapText="false"/>
    </xf>
    <xf applyFill="true" applyFont="true" borderId="0" fillId="64" fontId="92" numFmtId="0" xfId="0"/>
    <xf applyFill="true" applyFont="true" borderId="0" fillId="66" fontId="93" numFmtId="0" xfId="0"/>
    <xf applyFill="true" applyFont="true" borderId="0" fillId="68" fontId="94" numFmtId="0" xfId="0"/>
    <xf applyFill="true" borderId="0" fillId="70" fontId="0" numFmtId="0" xfId="0"/>
    <xf applyBorder="true" applyFont="true" borderId="59" fillId="0" fontId="95" numFmtId="0" xfId="0"/>
    <xf applyFont="true" borderId="0" fillId="0" fontId="96" numFmtId="0" xfId="0">
      <protection hidden="false" locked="true"/>
    </xf>
    <xf applyFont="true" borderId="0" fillId="0" fontId="97" numFmtId="0" xfId="0"/>
    <xf applyBorder="true" applyFont="true" borderId="25" fillId="0" fontId="98" numFmtId="0" xfId="0">
      <alignment horizontal="left" indent="0" textRotation="0" vertical="center" wrapText="false"/>
      <protection hidden="false" locked="true"/>
    </xf>
    <xf applyBorder="true" applyFill="true" applyFont="true" borderId="66" fillId="72" fontId="99" numFmtId="0" xfId="0"/>
    <xf applyBorder="true" applyFill="true" applyFont="true" borderId="74" fillId="74" fontId="100" numFmtId="0" xfId="0"/>
    <xf applyFont="true" borderId="0" fillId="0" fontId="101" numFmtId="0" xfId="0">
      <protection hidden="false" locked="true"/>
    </xf>
    <xf applyFill="true" applyFont="true" borderId="0" fillId="76" fontId="102" numFmtId="0" xfId="0"/>
    <xf applyFill="true" applyFont="true" borderId="0" fillId="33" fontId="103" numFmtId="0" xfId="0">
      <alignment horizontal="right" indent="0" textRotation="0" vertical="center" wrapText="false"/>
      <protection hidden="false" locked="true"/>
    </xf>
    <xf applyFill="true" applyFont="true" borderId="0" fillId="78" fontId="104" numFmtId="0" xfId="0"/>
    <xf applyFill="true" applyFont="true" borderId="0" fillId="80" fontId="105" numFmtId="0" xfId="0"/>
    <xf applyBorder="true" applyFill="true" applyFont="true" borderId="33" fillId="33" fontId="106" numFmtId="0" xfId="0">
      <alignment horizontal="center" indent="0" textRotation="0" vertical="center" wrapText="true"/>
      <protection hidden="false" locked="true"/>
    </xf>
    <xf applyBorder="true" applyFill="true" applyFont="true" borderId="48" fillId="72" fontId="107" numFmtId="0" xfId="0"/>
    <xf applyFill="true" applyFont="true" borderId="0" fillId="82" fontId="108" numFmtId="0" xfId="0"/>
    <xf applyFill="true" applyFont="true" borderId="0" fillId="84" fontId="109" numFmtId="0" xfId="0"/>
    <xf applyFill="true" applyFont="true" borderId="0" fillId="86" fontId="110" numFmtId="0" xfId="0"/>
    <xf applyBorder="true" applyFont="true" applyNumberFormat="true" borderId="78" fillId="0" fontId="111" numFmtId="0" xfId="0">
      <alignment horizontal="center" indent="0" textRotation="0" vertical="center" wrapText="true"/>
      <protection hidden="false" locked="true"/>
    </xf>
    <xf borderId="0" fillId="0" fontId="0" numFmtId="0" xfId="0">
      <alignment horizontal="left" indent="0" textRotation="0" vertical="bottom" wrapText="false"/>
    </xf>
    <xf applyNumberFormat="true" borderId="0" fillId="0" fontId="0" numFmtId="9" xfId="0"/>
    <xf borderId="0" fillId="0" fontId="0" numFmtId="0" xfId="0">
      <alignment horizontal="center" indent="0" textRotation="0" vertical="center" wrapText="true"/>
      <protection hidden="false" locked="true"/>
    </xf>
    <xf applyFont="true" borderId="0" fillId="0" fontId="112" numFmtId="0" xfId="0">
      <protection hidden="false" locked="true"/>
    </xf>
    <xf applyFont="true" applyNumberFormat="true" borderId="0" fillId="0" fontId="113" numFmtId="1" xfId="0">
      <alignment horizontal="center" indent="0" textRotation="0" vertical="center" wrapText="false"/>
    </xf>
    <xf borderId="0" fillId="0" fontId="0" numFmtId="0" xfId="0">
      <alignment horizontal="center" indent="0" textRotation="0" vertical="center" wrapText="false"/>
    </xf>
    <xf applyFill="true" applyFont="true" borderId="0" fillId="88" fontId="114" numFmtId="0" xfId="0"/>
    <xf applyFill="true" applyFont="true" borderId="0" fillId="90" fontId="115" numFmtId="0" xfId="0"/>
    <xf applyFont="true" applyNumberFormat="true" borderId="0" fillId="0" fontId="116" numFmtId="9" xfId="0">
      <alignment horizontal="center" indent="0" textRotation="0" vertical="center" wrapText="false"/>
    </xf>
    <xf applyFill="true" applyFont="true" borderId="0" fillId="92" fontId="117" numFmtId="0" xfId="0"/>
    <xf applyFill="true" applyFont="true" borderId="0" fillId="94" fontId="118" numFmtId="0" xfId="0"/>
    <xf applyFill="true" applyFont="true" borderId="0" fillId="96" fontId="119" numFmtId="0" xfId="0"/>
    <xf applyFont="true" applyNumberFormat="true" borderId="0" fillId="0" fontId="120" numFmtId="3" xfId="0">
      <alignment horizontal="right" indent="0" textRotation="0" vertical="center" wrapText="false"/>
    </xf>
    <xf applyFill="true" applyFont="true" borderId="0" fillId="98" fontId="121" numFmtId="0" xfId="0"/>
    <xf applyNumberFormat="true" borderId="0" fillId="0" fontId="0" numFmtId="10" xfId="0">
      <protection hidden="false" locked="true"/>
    </xf>
    <xf applyBorder="true" applyFill="true" applyFont="true" borderId="85" fillId="100" fontId="122" numFmtId="0" xfId="0">
      <protection hidden="false" locked="true"/>
    </xf>
    <xf applyFont="true" borderId="0" fillId="0" fontId="123" numFmtId="0" xfId="0"/>
    <xf applyFont="true" borderId="0" fillId="0" fontId="124" numFmtId="0" xfId="0"/>
    <xf applyBorder="true" applyFont="true" borderId="89" fillId="0" fontId="125" numFmtId="0" xfId="0">
      <protection hidden="false" locked="true"/>
    </xf>
    <xf applyFont="true" borderId="0" fillId="0" fontId="126" numFmtId="0" xfId="0"/>
    <xf applyFont="true" borderId="0" fillId="0" fontId="127" numFmtId="0" xfId="0">
      <alignment horizontal="right" indent="0" textRotation="0" vertical="bottom" wrapText="false"/>
    </xf>
    <xf borderId="0" fillId="0" fontId="0" numFmtId="0" xfId="0">
      <alignment horizontal="center" indent="0" textRotation="0" vertical="bottom" wrapText="false"/>
    </xf>
    <xf borderId="0" fillId="0" fontId="0" numFmtId="0" xfId="0">
      <alignment horizontal="left" indent="0" textRotation="0" vertical="center" wrapText="true"/>
    </xf>
    <xf applyBorder="true" applyFont="true" borderId="25" fillId="0" fontId="128" numFmtId="0" xfId="0">
      <alignment horizontal="right" indent="0" textRotation="0" vertical="center" wrapText="false"/>
    </xf>
    <xf applyBorder="true" applyFont="true" borderId="90" fillId="0" fontId="129" numFmtId="0" xfId="0"/>
    <xf applyBorder="true" applyFill="true" applyFont="true" borderId="25" fillId="33" fontId="130" numFmtId="0" xfId="0">
      <alignment horizontal="right" indent="0" textRotation="0" vertical="center" wrapText="false"/>
      <protection hidden="false" locked="true"/>
    </xf>
    <xf applyFont="true" borderId="0" fillId="0" fontId="131" numFmtId="0" xfId="0"/>
    <xf applyFont="true" borderId="0" fillId="0" fontId="132" numFmtId="0" xfId="0"/>
    <xf applyFont="true" borderId="0" fillId="0" fontId="133" numFmtId="0" xfId="0">
      <protection hidden="false" locked="true"/>
    </xf>
    <xf applyFill="true" applyFont="true" borderId="0" fillId="102" fontId="134" numFmtId="0" xfId="0"/>
    <xf applyBorder="true" applyFont="true" borderId="91" fillId="0" fontId="135" numFmtId="0" xfId="0"/>
    <xf applyBorder="true" applyFont="true" borderId="92" fillId="0" fontId="136" numFmtId="0" xfId="0"/>
    <xf applyNumberFormat="true" borderId="0" fillId="0" fontId="0" numFmtId="173" xfId="0"/>
    <xf applyFont="true" borderId="0" fillId="0" fontId="137" numFmtId="0" xfId="0">
      <alignment horizontal="left" indent="0" textRotation="0" vertical="center" wrapText="false"/>
      <protection hidden="false" locked="true"/>
    </xf>
    <xf applyBorder="true" applyFill="true" borderId="89" fillId="52" fontId="0" numFmtId="0" xfId="0">
      <protection hidden="false" locked="true"/>
    </xf>
    <xf applyBorder="true" applyFont="true" applyNumberFormat="true" borderId="93" fillId="0" fontId="138" numFmtId="3" xfId="0">
      <alignment horizontal="right" indent="0" textRotation="0" vertical="center" wrapText="false"/>
      <protection hidden="false" locked="true"/>
    </xf>
    <xf applyBorder="true" applyFont="true" applyNumberFormat="true" borderId="93" fillId="0" fontId="140" numFmtId="3" xfId="0">
      <alignment horizontal="right" indent="0" textRotation="0" vertical="center" wrapText="false"/>
      <protection hidden="false" locked="true"/>
    </xf>
    <xf applyBorder="true" applyFont="true" borderId="93" fillId="0" fontId="141" numFmtId="0" xfId="0">
      <alignment horizontal="left" indent="0" textRotation="0" vertical="bottom" wrapText="false"/>
      <protection hidden="false" locked="true"/>
    </xf>
    <xf applyBorder="true" applyFont="true" borderId="93" fillId="0" fontId="143" numFmtId="0" xfId="0">
      <alignment horizontal="left" indent="0" textRotation="0" vertical="center" wrapText="false"/>
      <protection hidden="false" locked="true"/>
    </xf>
    <xf applyBorder="true" applyFill="true" applyFont="true" applyNumberFormat="true" borderId="95" fillId="103" fontId="145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95" fillId="103" fontId="148" numFmtId="3" xfId="0">
      <alignment horizontal="right" indent="0" textRotation="0" vertical="center" wrapText="false"/>
      <protection hidden="false" locked="true"/>
    </xf>
    <xf applyBorder="true" applyFont="true" applyNumberFormat="true" borderId="93" fillId="0" fontId="150" numFmtId="166" xfId="0">
      <alignment horizontal="right" indent="0" textRotation="0" vertical="center" wrapText="false"/>
      <protection hidden="false" locked="true"/>
    </xf>
    <xf applyBorder="true" applyFill="true" applyFont="true" applyNumberFormat="true" borderId="93" fillId="33" fontId="152" numFmtId="3" xfId="0">
      <alignment horizontal="right" indent="0" textRotation="0" vertical="center" wrapText="false"/>
      <protection hidden="false" locked="true"/>
    </xf>
    <xf applyBorder="true" applyFill="true" applyFont="true" borderId="93" fillId="33" fontId="154" numFmtId="0" xfId="0">
      <alignment horizontal="left" indent="0" textRotation="0" vertical="center" wrapText="true"/>
      <protection hidden="false" locked="true"/>
    </xf>
    <xf applyBorder="true" applyFont="true" applyNumberFormat="true" borderId="93" fillId="0" fontId="155" numFmtId="3" xfId="0">
      <alignment horizontal="right" indent="0" textRotation="0" vertical="center" wrapText="false"/>
      <protection hidden="false" locked="true"/>
    </xf>
    <xf applyBorder="true" applyFont="true" applyNumberFormat="true" borderId="93" fillId="0" fontId="156" numFmtId="166" xfId="0">
      <alignment horizontal="right" indent="0" textRotation="0" vertical="center" wrapText="false"/>
      <protection hidden="false" locked="true"/>
    </xf>
    <xf applyBorder="true" applyFill="true" applyFont="true" applyNumberFormat="true" borderId="95" fillId="103" fontId="158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94" fillId="103" fontId="160" numFmtId="0" xfId="0">
      <alignment horizontal="center" indent="0" textRotation="0" vertical="center" wrapText="true"/>
      <protection hidden="false" locked="true"/>
    </xf>
    <xf applyBorder="true" applyFill="true" applyFont="true" applyNumberFormat="true" borderId="100" fillId="33" fontId="162" numFmtId="49" xfId="0">
      <alignment horizontal="left" indent="0" textRotation="0" vertical="bottom" wrapText="false"/>
      <protection hidden="false" locked="true"/>
    </xf>
    <xf applyBorder="true" applyFill="true" applyFont="true" applyNumberFormat="true" borderId="100" fillId="33" fontId="164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101" fillId="33" fontId="167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100" fillId="33" fontId="169" numFmtId="166" xfId="0">
      <alignment horizontal="right" indent="0" textRotation="0" vertical="bottom" wrapText="false"/>
      <protection hidden="false" locked="true"/>
    </xf>
    <xf applyBorder="true" applyFill="true" applyFont="true" applyNumberFormat="true" borderId="95" fillId="33" fontId="172" numFmtId="3" xfId="0">
      <alignment horizontal="right" indent="0" textRotation="0" vertical="center" wrapText="false"/>
      <protection hidden="false" locked="true"/>
    </xf>
    <xf applyNumberFormat="true" borderId="0" fillId="0" fontId="0" numFmtId="14" xfId="0"/>
  </cellXfs>
  <cellStyles count="100">
    <cellStyle name="%0." xfId="47"/>
    <cellStyle name="%0.0" xfId="74"/>
    <cellStyle name="%0.00" xfId="48"/>
    <cellStyle builtinId="30" customBuiltin="1" name="20% - Accent1" xfId="35"/>
    <cellStyle builtinId="34" customBuiltin="1" name="20% - Accent2" xfId="37"/>
    <cellStyle builtinId="38" customBuiltin="1" name="20% - Accent3" xfId="39"/>
    <cellStyle builtinId="42" customBuiltin="1" name="20% - Accent4" xfId="41"/>
    <cellStyle builtinId="46" customBuiltin="1" name="20% - Accent5" xfId="43"/>
    <cellStyle builtinId="50" customBuiltin="1" name="20% - Accent6" xfId="45"/>
    <cellStyle name="20% - Colore 7" xfId="8"/>
    <cellStyle builtinId="31" customBuiltin="1" name="40% - Accent1" xfId="36"/>
    <cellStyle builtinId="35" customBuiltin="1" name="40% - Accent2" xfId="38"/>
    <cellStyle builtinId="39" customBuiltin="1" name="40% - Accent3" xfId="40"/>
    <cellStyle builtinId="43" customBuiltin="1" name="40% - Accent4" xfId="42"/>
    <cellStyle builtinId="47" customBuiltin="1" name="40% - Accent5" xfId="44"/>
    <cellStyle builtinId="51" customBuiltin="1" name="40% - Accent6" xfId="46"/>
    <cellStyle name="ACT" xfId="49"/>
    <cellStyle name="Alighment Center" xfId="83"/>
    <cellStyle name="Alighment Left" xfId="84"/>
    <cellStyle name="Alignment H&amp;V center" xfId="95"/>
    <cellStyle name="Amounts left nolocked" xfId="50"/>
    <cellStyle name="Amounts w/ 2 Decimals" xfId="90"/>
    <cellStyle name="Amounts_Board" xfId="51"/>
    <cellStyle name="Amounts-1000" xfId="75"/>
    <cellStyle name="BDG" xfId="52"/>
    <cellStyle name="Blank" xfId="9"/>
    <cellStyle name="Blank_Row" xfId="94"/>
    <cellStyle name="blue" xfId="10"/>
    <cellStyle name="Body" xfId="11"/>
    <cellStyle name="Bold" xfId="6"/>
    <cellStyle name="Bold 2" xfId="34"/>
    <cellStyle name="Bold+Italic" xfId="96"/>
    <cellStyle name="Border_total" xfId="12"/>
    <cellStyle name="C_Amount_ACT" xfId="53"/>
    <cellStyle name="C_Head" xfId="54"/>
    <cellStyle builtinId="4" customBuiltin="1" name="Currency" xfId="81"/>
    <cellStyle builtinId="7" customBuiltin="1" name="Currency [0]" xfId="82"/>
    <cellStyle name="Data(USA)" xfId="79"/>
    <cellStyle name="Date" xfId="13"/>
    <cellStyle name="Fill light blue" xfId="85"/>
    <cellStyle name="Font 11 Tahoma" xfId="86"/>
    <cellStyle name="Font 11 Tahoma bold" xfId="87"/>
    <cellStyle name="Font_big" xfId="14"/>
    <cellStyle name="Formula" xfId="55"/>
    <cellStyle name="formula2_fond" xfId="15"/>
    <cellStyle name="Formula3" xfId="7"/>
    <cellStyle name="FST description blank" xfId="56"/>
    <cellStyle name="Group_Color" xfId="16"/>
    <cellStyle name="Head_left" xfId="57"/>
    <cellStyle name="Header" xfId="2"/>
    <cellStyle name="Header 2" xfId="33"/>
    <cellStyle name="Header_border" xfId="3"/>
    <cellStyle builtinId="8" customBuiltin="1" name="Hyperlink" xfId="32"/>
    <cellStyle name="Hyperlink for amounts" xfId="73"/>
    <cellStyle name="Hyperlnk row header underlined bold" xfId="58"/>
    <cellStyle name="Indent_1" xfId="17"/>
    <cellStyle name="Left_align" xfId="18"/>
    <cellStyle name="Matrix_Title" xfId="19"/>
    <cellStyle name="Middle Headers Centered" xfId="59"/>
    <cellStyle builtinId="0" customBuiltin="1" name="Normal" xfId="0"/>
    <cellStyle name="Normal 2" xfId="1"/>
    <cellStyle name="Num 2 decimal" xfId="20"/>
    <cellStyle name="Perc 1 decimal" xfId="21"/>
    <cellStyle name="Perc 2 decimal" xfId="5"/>
    <cellStyle builtinId="5" name="Percent" xfId="99"/>
    <cellStyle name="Percentage" xfId="22"/>
    <cellStyle name="Place_header" xfId="23"/>
    <cellStyle name="Placeholder" xfId="60"/>
    <cellStyle name="Placeholder Header Underlined bold" xfId="76"/>
    <cellStyle name="Placeholder_column_blank" xfId="61"/>
    <cellStyle name="Placeholder_Header" xfId="93"/>
    <cellStyle name="prova colore" xfId="24"/>
    <cellStyle name="R_Area_font" xfId="62"/>
    <cellStyle name="R_AREA_FONT_UC" xfId="88"/>
    <cellStyle name="R_formula" xfId="63"/>
    <cellStyle name="R_head_font" xfId="64"/>
    <cellStyle name="Right_align" xfId="4"/>
    <cellStyle name="Row Header" xfId="25"/>
    <cellStyle name="Status" xfId="26"/>
    <cellStyle name="Status Check" xfId="77"/>
    <cellStyle name="Subtotal" xfId="27"/>
    <cellStyle name="Subtotal Amounts row fill" xfId="65"/>
    <cellStyle name="Subtotal head row fill" xfId="66"/>
    <cellStyle name="Subtotal_amounts" xfId="67"/>
    <cellStyle name="Subtotal_head" xfId="68"/>
    <cellStyle name="test" xfId="28"/>
    <cellStyle name="Text" xfId="29"/>
    <cellStyle name="TGK_TOC_PAGE_COLUMN" xfId="80"/>
    <cellStyle builtinId="15" customBuiltin="1" name="Title" xfId="89"/>
    <cellStyle name="Total_amounts" xfId="69"/>
    <cellStyle name="Total_Amounts_Margin" xfId="78"/>
    <cellStyle name="Total_head" xfId="70"/>
    <cellStyle name="Total_Headers_Margin" xfId="71"/>
    <cellStyle name="Visual Check" xfId="97"/>
    <cellStyle name="Webdings" xfId="91"/>
    <cellStyle name="Webdings1" xfId="98"/>
    <cellStyle name="Webdings14" xfId="92"/>
    <cellStyle name="Work new book placeholder header underlined" xfId="72"/>
    <cellStyle name="Wrap_text" xfId="30"/>
    <cellStyle name="yellow" xfId="31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../customXml/item1.xml" Type="http://schemas.openxmlformats.org/officeDocument/2006/relationships/customXml"/>
<Relationship Id="rId11" Target="worksheets/sheet13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theme/theme1.xml" Type="http://schemas.openxmlformats.org/officeDocument/2006/relationships/theme"/>
<Relationship Id="rId7" Target="styles.xml" Type="http://schemas.openxmlformats.org/officeDocument/2006/relationships/styles"/>
<Relationship Id="rId8" Target="sharedStrings.xml" Type="http://schemas.openxmlformats.org/officeDocument/2006/relationships/sharedStrings"/>
<Relationship Id="rId9" Target="calcChain.xml" Type="http://schemas.openxmlformats.org/officeDocument/2006/relationships/calcChain"/>
</Relationships>

</file>

<file path=xl/charts/_rels/chart1.xml.rels><?xml version="1.0" encoding="UTF-8" standalone="yes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_rels/chart2.xml.rels><?xml version="1.0" encoding="UTF-8" standalone="yes"?>
<Relationships xmlns="http://schemas.openxmlformats.org/package/2006/relationships">
<Relationship Id="rId1" Target="style2.xml" Type="http://schemas.microsoft.com/office/2011/relationships/chartStyle"/>
<Relationship Id="rId2" Target="colors2.xml" Type="http://schemas.microsoft.com/office/2011/relationships/chartColorStyle"/>
</Relationships>

</file>

<file path=xl/charts/_rels/chart3.xml.rels><?xml version="1.0" encoding="UTF-8" standalone="yes"?>
<Relationships xmlns="http://schemas.openxmlformats.org/package/2006/relationships">
<Relationship Id="rId1" Target="style3.xml" Type="http://schemas.microsoft.com/office/2011/relationships/chartStyle"/>
<Relationship Id="rId2" Target="colors3.xml" Type="http://schemas.microsoft.com/office/2011/relationships/chartColorStyle"/>
</Relationships>

</file>

<file path=xl/charts/_rels/chart4.xml.rels><?xml version="1.0" encoding="UTF-8" standalone="yes"?>
<Relationships xmlns="http://schemas.openxmlformats.org/package/2006/relationships">
<Relationship Id="rId1" Target="style4.xml" Type="http://schemas.microsoft.com/office/2011/relationships/chartStyle"/>
<Relationship Id="rId2" Target="colors4.xml" Type="http://schemas.microsoft.com/office/2011/relationships/chartColorStyle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Highest Variance by</a:t>
            </a:r>
            <a:r>
              <a:rPr lang="en-US" sz="1400" b="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Category</a:t>
            </a:r>
            <a:endParaRPr lang="en-US" sz="1400" b="0">
              <a:solidFill>
                <a:schemeClr val="tx2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c:rich>
      </c:tx>
      <c:layout>
        <c:manualLayout>
          <c:xMode val="edge"/>
          <c:yMode val="edge"/>
          <c:x val="0.2754416753064542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PL!$D$6</c:f>
              <c:strCache>
                <c:ptCount val="1"/>
                <c:pt idx="0">
                  <c:v>Budget Scenario (ref3)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PL!$B$7:$B$34</c:f>
              <c:strCache>
                <c:ptCount val="28"/>
                <c:pt idx="0">
                  <c:v>Sales Revenue</c:v>
                </c:pt>
                <c:pt idx="1">
                  <c:v>Other  Revenue</c:v>
                </c:pt>
                <c:pt idx="2">
                  <c:v>Total Gross Sales</c:v>
                </c:pt>
                <c:pt idx="3">
                  <c:v>Cost of Purchase</c:v>
                </c:pt>
                <c:pt idx="4">
                  <c:v>Total Net Sales</c:v>
                </c:pt>
                <c:pt idx="5">
                  <c:v>Sales Discounts</c:v>
                </c:pt>
                <c:pt idx="6">
                  <c:v>Advertising and Promotions</c:v>
                </c:pt>
                <c:pt idx="7">
                  <c:v>Total direct costs</c:v>
                </c:pt>
                <c:pt idx="8">
                  <c:v>Gross Margin</c:v>
                </c:pt>
                <c:pt idx="9">
                  <c:v>Salary and Wages</c:v>
                </c:pt>
                <c:pt idx="10">
                  <c:v>Payroll Benefits and Taxes</c:v>
                </c:pt>
                <c:pt idx="11">
                  <c:v>Insurance</c:v>
                </c:pt>
                <c:pt idx="12">
                  <c:v>Energy</c:v>
                </c:pt>
                <c:pt idx="13">
                  <c:v>Distribution Costs &amp; Other G&amp;A Expenses</c:v>
                </c:pt>
                <c:pt idx="14">
                  <c:v>Depreciation</c:v>
                </c:pt>
                <c:pt idx="15">
                  <c:v>Provision for fund</c:v>
                </c:pt>
                <c:pt idx="16">
                  <c:v>Cost Charge Back</c:v>
                </c:pt>
                <c:pt idx="17">
                  <c:v>Total operating costs</c:v>
                </c:pt>
                <c:pt idx="18">
                  <c:v>Net Margin</c:v>
                </c:pt>
                <c:pt idx="19">
                  <c:v>Extraordinary income and expense</c:v>
                </c:pt>
                <c:pt idx="20">
                  <c:v>Other Gains &amp; Losses</c:v>
                </c:pt>
                <c:pt idx="21">
                  <c:v>Dividends</c:v>
                </c:pt>
                <c:pt idx="22">
                  <c:v>Financial income and expense</c:v>
                </c:pt>
                <c:pt idx="23">
                  <c:v>Result before taxes</c:v>
                </c:pt>
                <c:pt idx="24">
                  <c:v>Tax</c:v>
                </c:pt>
                <c:pt idx="25">
                  <c:v>Net Result</c:v>
                </c:pt>
                <c:pt idx="26">
                  <c:v>Minorities result</c:v>
                </c:pt>
                <c:pt idx="27">
                  <c:v>Group net result</c:v>
                </c:pt>
              </c:strCache>
            </c:strRef>
          </c:cat>
          <c:val>
            <c:numRef>
              <c:f>PL!$D$7:$D$34</c:f>
              <c:numCache>
                <c:formatCode>#,##0</c:formatCode>
                <c:ptCount val="28"/>
                <c:pt idx="0">
                  <c:v>-1000</c:v>
                </c:pt>
                <c:pt idx="1">
                  <c:v>-1000</c:v>
                </c:pt>
                <c:pt idx="2">
                  <c:v>-2000</c:v>
                </c:pt>
                <c:pt idx="3">
                  <c:v>1000</c:v>
                </c:pt>
                <c:pt idx="4">
                  <c:v>-3000</c:v>
                </c:pt>
                <c:pt idx="5">
                  <c:v>1000</c:v>
                </c:pt>
                <c:pt idx="6">
                  <c:v>1000</c:v>
                </c:pt>
                <c:pt idx="7">
                  <c:v>2000</c:v>
                </c:pt>
                <c:pt idx="8">
                  <c:v>-5000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8000</c:v>
                </c:pt>
                <c:pt idx="18">
                  <c:v>-13000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-17000</c:v>
                </c:pt>
                <c:pt idx="24">
                  <c:v>1000</c:v>
                </c:pt>
                <c:pt idx="25">
                  <c:v>-18000</c:v>
                </c:pt>
                <c:pt idx="26">
                  <c:v>-1000</c:v>
                </c:pt>
                <c:pt idx="27">
                  <c:v>-19000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-1145955376"/>
        <c:axId val="-1145971152"/>
      </c:radarChart>
      <c:catAx>
        <c:axId val="-11459553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71152"/>
        <c:crosses val="autoZero"/>
        <c:auto val="1"/>
        <c:lblAlgn val="ctr"/>
        <c:lblOffset val="100"/>
        <c:noMultiLvlLbl val="0"/>
      </c:catAx>
      <c:valAx>
        <c:axId val="-1145971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5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500" b="1" i="0" u="none" strike="noStrike" kern="1200" cap="none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cap="none" spc="50" baseline="0">
                <a:solidFill>
                  <a:schemeClr val="tx2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Gross Sales Monthly Trend</a:t>
            </a:r>
          </a:p>
        </c:rich>
      </c:tx>
      <c:layout>
        <c:manualLayout>
          <c:xMode val="edge"/>
          <c:yMode val="edge"/>
          <c:x val="0.3342610839660479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500" b="1" i="0" u="none" strike="noStrike" kern="1200" cap="none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PL!$AA$8:$AB$8</c:f>
              <c:strCache>
                <c:ptCount val="2"/>
                <c:pt idx="0">
                  <c:v>Budget Scenario</c:v>
                </c:pt>
                <c:pt idx="1">
                  <c:v>Total Gross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PL!$AC$8:$AN$8</c:f>
              <c:numCache>
                <c:formatCode>#,##0</c:formatCode>
                <c:ptCount val="1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PL!$AA$11:$AB$11</c:f>
              <c:strCache>
                <c:ptCount val="2"/>
                <c:pt idx="0">
                  <c:v>Budget Scenario (ref3)</c:v>
                </c:pt>
                <c:pt idx="1">
                  <c:v>Total Gross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PL!$AC$11:$AN$11</c:f>
              <c:numCache>
                <c:formatCode>#,##0</c:formatCode>
                <c:ptCount val="1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5952112"/>
        <c:axId val="-1145951568"/>
      </c:lineChart>
      <c:catAx>
        <c:axId val="-114595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51568"/>
        <c:crosses val="autoZero"/>
        <c:auto val="1"/>
        <c:lblAlgn val="ctr"/>
        <c:lblOffset val="100"/>
        <c:noMultiLvlLbl val="0"/>
      </c:catAx>
      <c:valAx>
        <c:axId val="-11459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5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500" b="1" i="0" u="none" strike="noStrike" kern="1200" cap="none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cap="none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Monthly Variance 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500" b="1" i="0" u="none" strike="noStrike" kern="1200" cap="none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6"/>
          <c:tx>
            <c:strRef>
              <c:f>PL!$AB$14</c:f>
              <c:strCache>
                <c:ptCount val="1"/>
                <c:pt idx="0">
                  <c:v>Total Gross Sales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PL!$AC$14:$AN$14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PL!$AB$15</c:f>
              <c:strCache>
                <c:ptCount val="1"/>
                <c:pt idx="0">
                  <c:v>Net Margin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PL!$AC$15:$AN$15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PL!$AB$16</c:f>
              <c:strCache>
                <c:ptCount val="1"/>
                <c:pt idx="0">
                  <c:v>Net Result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PL!$AC$7:$AN$7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PL!$AC$16:$AN$16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5950480"/>
        <c:axId val="-1145966800"/>
        <c:extLst>
          <c:ext xmlns:c15="http://schemas.microsoft.com/office/drawing/2012/chart" uri="{02D57815-91ED-43cb-92C2-25804820EDAC}">
            <c15:filteredLine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PL!$AB$8</c15:sqref>
                        </c15:formulaRef>
                      </c:ext>
                    </c:extLst>
                    <c:strCache>
                      <c:ptCount val="1"/>
                      <c:pt idx="0">
                        <c:v>Total Gross Sales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PL!$AC$8:$AN$8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PL!$AB$9</c15:sqref>
                        </c15:formulaRef>
                      </c:ext>
                    </c:extLst>
                    <c:strCache>
                      <c:ptCount val="1"/>
                      <c:pt idx="0">
                        <c:v>Net Margin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PL!$AC$9:$AN$9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PL!$AB$10</c15:sqref>
                        </c15:formulaRef>
                      </c:ext>
                    </c:extLst>
                    <c:strCache>
                      <c:ptCount val="1"/>
                      <c:pt idx="0">
                        <c:v>Net Result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PL!$AC$10:$AN$10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2"/>
                <c:order val="3"/>
                <c:tx>
                  <c:strRef>
                    <c:extLst>
                      <c:ext uri="{02D57815-91ED-43cb-92C2-25804820EDAC}">
                        <c15:formulaRef>
                          <c15:sqref>PL!$AB$11</c15:sqref>
                        </c15:formulaRef>
                      </c:ext>
                    </c:extLst>
                    <c:strCache>
                      <c:ptCount val="1"/>
                      <c:pt idx="0">
                        <c:v>Total Gross Sales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PL!$AC$11:$AN$11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4"/>
                <c:tx>
                  <c:strRef>
                    <c:extLst>
                      <c:ext uri="{02D57815-91ED-43cb-92C2-25804820EDAC}">
                        <c15:formulaRef>
                          <c15:sqref>PL!$AB$12</c15:sqref>
                        </c15:formulaRef>
                      </c:ext>
                    </c:extLst>
                    <c:strCache>
                      <c:ptCount val="1"/>
                      <c:pt idx="0">
                        <c:v>Net Margin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PL!$AC$12:$AN$12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PL!$AB$13</c15:sqref>
                        </c15:formulaRef>
                      </c:ext>
                    </c:extLst>
                    <c:strCache>
                      <c:ptCount val="1"/>
                      <c:pt idx="0">
                        <c:v>Net Result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PL!$AC$7:$AN$7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Sept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PL!$AC$13:$AN$13</c15:sqref>
                        </c15:formulaRef>
                      </c:ext>
                    </c:extLst>
                    <c:numCache>
                      <c:formatCode>#,##0</c:formatCode>
                      <c:ptCount val="12"/>
                      <c:pt idx="0">
                        <c:v>-1000</c:v>
                      </c:pt>
                      <c:pt idx="1">
                        <c:v>-1000</c:v>
                      </c:pt>
                      <c:pt idx="2">
                        <c:v>-1000</c:v>
                      </c:pt>
                      <c:pt idx="3">
                        <c:v>-1000</c:v>
                      </c:pt>
                      <c:pt idx="4">
                        <c:v>-1000</c:v>
                      </c:pt>
                      <c:pt idx="5">
                        <c:v>-1000</c:v>
                      </c:pt>
                      <c:pt idx="6">
                        <c:v>-1000</c:v>
                      </c:pt>
                      <c:pt idx="7">
                        <c:v>-1000</c:v>
                      </c:pt>
                      <c:pt idx="8">
                        <c:v>-1000</c:v>
                      </c:pt>
                      <c:pt idx="9">
                        <c:v>-1000</c:v>
                      </c:pt>
                      <c:pt idx="10">
                        <c:v>-1000</c:v>
                      </c:pt>
                      <c:pt idx="11">
                        <c:v>-1000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114595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66800"/>
        <c:crosses val="autoZero"/>
        <c:auto val="1"/>
        <c:lblAlgn val="ctr"/>
        <c:lblOffset val="100"/>
        <c:noMultiLvlLbl val="0"/>
      </c:catAx>
      <c:valAx>
        <c:axId val="-114596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5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PL!$D$6</c:f>
              <c:strCache>
                <c:ptCount val="1"/>
                <c:pt idx="0">
                  <c:v>Budget Scenario (ref3)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PL!$B$7:$B$34</c15:sqref>
                  </c15:fullRef>
                </c:ext>
              </c:extLst>
              <c:f>(PL!$B$9,PL!$B$12:$B$13,PL!$B$15,PL!$B$22:$B$23,PL!$B$25)</c:f>
              <c:strCache>
                <c:ptCount val="7"/>
                <c:pt idx="0">
                  <c:v>Total Gross Sales</c:v>
                </c:pt>
                <c:pt idx="1">
                  <c:v>Sales Discounts</c:v>
                </c:pt>
                <c:pt idx="2">
                  <c:v>Advertising and Promotions</c:v>
                </c:pt>
                <c:pt idx="3">
                  <c:v>Gross Margin</c:v>
                </c:pt>
                <c:pt idx="4">
                  <c:v>Provision for fund</c:v>
                </c:pt>
                <c:pt idx="5">
                  <c:v>Cost Charge Back</c:v>
                </c:pt>
                <c:pt idx="6">
                  <c:v>Net Margin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PL!$D$7:$D$34</c15:sqref>
                  </c15:fullRef>
                </c:ext>
              </c:extLst>
              <c:f>(PL!$D$9,PL!$D$12:$D$13,PL!$D$15,PL!$D$22:$D$23,PL!$D$25)</c:f>
              <c:numCache>
                <c:formatCode>#,##0</c:formatCode>
                <c:ptCount val="7"/>
                <c:pt idx="0">
                  <c:v>-2000</c:v>
                </c:pt>
                <c:pt idx="1">
                  <c:v>1000</c:v>
                </c:pt>
                <c:pt idx="2">
                  <c:v>1000</c:v>
                </c:pt>
                <c:pt idx="3">
                  <c:v>-5000</c:v>
                </c:pt>
                <c:pt idx="4">
                  <c:v>1000</c:v>
                </c:pt>
                <c:pt idx="5">
                  <c:v>1000</c:v>
                </c:pt>
                <c:pt idx="6">
                  <c:v>-13000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PL!$D$7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PL!$D$8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PL!$D$10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PL!$D$11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PL!$D$14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PL!$D$16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PL!$D$17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PL!$D$18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PL!$D$19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PL!$D$20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PL!$D$21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PL!$D$24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PL!$D$26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PL!$D$27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PL!$D$28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PL!$D$29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PL!$D$30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PL!$D$31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PL!$D$32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PL!$D$33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PL!$D$34</c15:sqref>
                  <c15:spPr>
                    <a:solidFill>
                      <a:schemeClr val="tx2">
                        <a:lumMod val="40000"/>
                        <a:lumOff val="6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-1145991280"/>
        <c:axId val="-1145993456"/>
      </c:barChart>
      <c:catAx>
        <c:axId val="-114599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93456"/>
        <c:auto val="1"/>
        <c:lblAlgn val="ctr"/>
        <c:lblOffset val="100"/>
        <c:noMultiLvlLbl val="0"/>
      </c:catAx>
      <c:valAx>
        <c:axId val="-11459934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5991280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
<Relationship Id="rId1" Target="../media/image1.png" Type="http://schemas.openxmlformats.org/officeDocument/2006/relationships/image"/>
<Relationship Id="rId2" Target="../charts/chart1.xml" Type="http://schemas.openxmlformats.org/officeDocument/2006/relationships/chart"/>
<Relationship Id="rId3" Target="../charts/chart2.xml" Type="http://schemas.openxmlformats.org/officeDocument/2006/relationships/chart"/>
<Relationship Id="rId4" Target="../charts/chart3.xml" Type="http://schemas.openxmlformats.org/officeDocument/2006/relationships/chart"/>
<Relationship Id="rId5" Target="../charts/chart4.xml" Type="http://schemas.openxmlformats.org/officeDocument/2006/relationships/chart"/>
</Relationships>

</file>

<file path=xl/drawings/_rels/drawing2.xml.rels><?xml version="1.0" encoding="UTF-8" standalone="yes"?>
<Relationships xmlns="http://schemas.openxmlformats.org/package/2006/relationships">
<Relationship Id="rId1" Target="../media/image2.png" Type="http://schemas.openxmlformats.org/officeDocument/2006/relationships/image"/>
</Relationships>

</file>

<file path=xl/drawings/_rels/drawing3.xml.rels><?xml version="1.0" encoding="UTF-8" standalone="yes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yes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5638</xdr:colOff>
      <xdr:row>0</xdr:row>
      <xdr:rowOff>25025</xdr:rowOff>
    </xdr:from>
    <xdr:to>
      <xdr:col>1</xdr:col>
      <xdr:colOff>650398</xdr:colOff>
      <xdr:row>4</xdr:row>
      <xdr:rowOff>62131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" y="25025"/>
          <a:ext cx="834883" cy="308710"/>
        </a:xfrm>
        <a:prstGeom prst="rect">
          <a:avLst/>
        </a:prstGeom>
      </xdr:spPr>
    </xdr:pic>
    <xdr:clientData/>
  </xdr:twoCellAnchor>
  <xdr:twoCellAnchor>
    <xdr:from>
      <xdr:col>8</xdr:col>
      <xdr:colOff>42345</xdr:colOff>
      <xdr:row>71</xdr:row>
      <xdr:rowOff>72806</xdr:rowOff>
    </xdr:from>
    <xdr:to>
      <xdr:col>21</xdr:col>
      <xdr:colOff>443621</xdr:colOff>
      <xdr:row>96</xdr:row>
      <xdr:rowOff>81482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9052</xdr:colOff>
      <xdr:row>5</xdr:row>
      <xdr:rowOff>297775</xdr:rowOff>
    </xdr:from>
    <xdr:to>
      <xdr:col>16</xdr:col>
      <xdr:colOff>103832</xdr:colOff>
      <xdr:row>17</xdr:row>
      <xdr:rowOff>144856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5658</xdr:colOff>
      <xdr:row>20</xdr:row>
      <xdr:rowOff>8531</xdr:rowOff>
    </xdr:from>
    <xdr:to>
      <xdr:col>16</xdr:col>
      <xdr:colOff>98095</xdr:colOff>
      <xdr:row>32</xdr:row>
      <xdr:rowOff>103412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153908</xdr:colOff>
      <xdr:row>71</xdr:row>
      <xdr:rowOff>126748</xdr:rowOff>
    </xdr:from>
    <xdr:to>
      <xdr:col>4</xdr:col>
      <xdr:colOff>45267</xdr:colOff>
      <xdr:row>86</xdr:row>
      <xdr:rowOff>153908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103930</xdr:colOff>
      <xdr:row>0</xdr:row>
      <xdr:rowOff>28886</xdr:rowOff>
    </xdr:from>
    <xdr:to>
      <xdr:col>2</xdr:col>
      <xdr:colOff>886220</xdr:colOff>
      <xdr:row>1</xdr:row>
      <xdr:rowOff>26218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30" y="28886"/>
          <a:ext cx="918092" cy="305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108642</xdr:colOff>
      <xdr:row>0</xdr:row>
      <xdr:rowOff>0</xdr:rowOff>
    </xdr:from>
    <xdr:to>
      <xdr:col>1</xdr:col>
      <xdr:colOff>1107919</xdr:colOff>
      <xdr:row>1</xdr:row>
      <xdr:rowOff>63280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37" y="0"/>
          <a:ext cx="999277" cy="325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108641</xdr:colOff>
      <xdr:row>0</xdr:row>
      <xdr:rowOff>36214</xdr:rowOff>
    </xdr:from>
    <xdr:to>
      <xdr:col>2</xdr:col>
      <xdr:colOff>276386</xdr:colOff>
      <xdr:row>2</xdr:row>
      <xdr:rowOff>45306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22" y="36214"/>
          <a:ext cx="801488" cy="3078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customProperty1.bin" Type="http://schemas.openxmlformats.org/officeDocument/2006/relationships/customProperty"/>
<Relationship Id="rId3" Target="../drawings/drawing1.xml" Type="http://schemas.openxmlformats.org/officeDocument/2006/relationships/drawing"/>
</Relationships>

</file>

<file path=xl/worksheets/_rels/sheet3.xml.rels><?xml version="1.0" encoding="UTF-8" standalone="yes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customProperty2.bin" Type="http://schemas.openxmlformats.org/officeDocument/2006/relationships/customProperty"/>
<Relationship Id="rId3" Target="../drawings/drawing2.xml" Type="http://schemas.openxmlformats.org/officeDocument/2006/relationships/drawing"/>
</Relationships>

</file>

<file path=xl/worksheets/_rels/sheet4.xml.rels><?xml version="1.0" encoding="UTF-8" standalone="yes"?>
<Relationships xmlns="http://schemas.openxmlformats.org/package/2006/relationships">
<Relationship Id="rId1" Target="../customProperty3.bin" Type="http://schemas.openxmlformats.org/officeDocument/2006/relationships/customProperty"/>
<Relationship Id="rId2" Target="../drawings/drawing3.xml" Type="http://schemas.openxmlformats.org/officeDocument/2006/relationships/drawing"/>
</Relationships>

</file>

<file path=xl/worksheets/_rels/sheet5.xml.rels><?xml version="1.0" encoding="UTF-8" standalone="yes"?>
<Relationships xmlns="http://schemas.openxmlformats.org/package/2006/relationships">
<Relationship Id="rId1" Target="../customProperty4.bin" Type="http://schemas.openxmlformats.org/officeDocument/2006/relationships/customProperty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4.3" x14ac:dyDescent="0.25"/>
  <sheetData>
    <row r="1" spans="1:2" x14ac:dyDescent="0.25">
      <c r="A1" t="s" s="90">
        <v>168</v>
      </c>
      <c r="B1" t="n" s="91">
        <f>PL!A65512</f>
        <v>0.0</v>
      </c>
      <c r="C1" t="s" s="92">
        <v>169</v>
      </c>
      <c r="D1" t="s" s="93">
        <v>170</v>
      </c>
      <c r="E1" t="s" s="94">
        <v>171</v>
      </c>
      <c r="F1" t="s" s="95">
        <v>172</v>
      </c>
      <c r="G1" t="s" s="96">
        <v>173</v>
      </c>
      <c r="H1" t="s" s="97">
        <v>174</v>
      </c>
      <c r="I1" t="s" s="98">
        <v>175</v>
      </c>
      <c r="J1" t="s" s="99">
        <v>176</v>
      </c>
      <c r="K1" t="s" s="100">
        <v>177</v>
      </c>
      <c r="L1" t="s" s="101">
        <v>178</v>
      </c>
      <c r="M1" t="s" s="102">
        <v>179</v>
      </c>
      <c r="N1" t="s" s="103">
        <v>180</v>
      </c>
      <c r="O1" t="s" s="104">
        <v>181</v>
      </c>
      <c r="P1" t="s" s="105">
        <v>182</v>
      </c>
      <c r="Q1" t="s" s="106">
        <v>183</v>
      </c>
      <c r="R1" t="s" s="107">
        <v>184</v>
      </c>
      <c r="S1" t="s" s="108">
        <v>185</v>
      </c>
      <c r="T1" t="s" s="109">
        <v>186</v>
      </c>
      <c r="U1" t="s" s="110">
        <v>187</v>
      </c>
      <c r="V1" t="s" s="111">
        <v>188</v>
      </c>
      <c r="W1" t="s" s="112">
        <v>189</v>
      </c>
      <c r="X1" t="s" s="113">
        <v>190</v>
      </c>
      <c r="Y1" t="s" s="114">
        <v>191</v>
      </c>
      <c r="Z1" t="s" s="115">
        <v>192</v>
      </c>
      <c r="AA1" t="s" s="116">
        <v>193</v>
      </c>
      <c r="AB1" t="s" s="117">
        <v>194</v>
      </c>
      <c r="AC1" t="s" s="118">
        <v>195</v>
      </c>
      <c r="AD1" t="s" s="119">
        <v>196</v>
      </c>
      <c r="AE1" t="s" s="120">
        <v>197</v>
      </c>
      <c r="AF1" t="s" s="121">
        <v>198</v>
      </c>
      <c r="AG1" t="s" s="122">
        <v>199</v>
      </c>
      <c r="AH1" t="s" s="123">
        <v>200</v>
      </c>
      <c r="AI1" t="s" s="124">
        <v>201</v>
      </c>
      <c r="AJ1" t="s" s="125">
        <v>202</v>
      </c>
      <c r="AK1" t="s" s="126">
        <v>203</v>
      </c>
      <c r="AL1" t="s" s="127">
        <v>204</v>
      </c>
      <c r="AM1" t="s" s="128">
        <v>205</v>
      </c>
      <c r="AN1" t="s" s="129">
        <v>206</v>
      </c>
      <c r="AO1" t="s" s="130">
        <v>207</v>
      </c>
      <c r="AP1" t="s" s="131">
        <v>208</v>
      </c>
      <c r="AQ1" t="s" s="132">
        <v>209</v>
      </c>
      <c r="AR1" t="s" s="133">
        <v>210</v>
      </c>
      <c r="AS1" t="s" s="134">
        <v>211</v>
      </c>
      <c r="AT1" t="s" s="135">
        <v>212</v>
      </c>
      <c r="AU1" t="s" s="136">
        <v>213</v>
      </c>
      <c r="AV1" t="s" s="137">
        <v>214</v>
      </c>
      <c r="AW1" t="s" s="138">
        <v>215</v>
      </c>
      <c r="AX1" t="s" s="139">
        <v>216</v>
      </c>
      <c r="AY1" t="s" s="140">
        <v>217</v>
      </c>
      <c r="AZ1" t="s" s="141">
        <v>218</v>
      </c>
      <c r="BA1" t="s" s="142">
        <v>219</v>
      </c>
      <c r="BB1" t="s" s="143">
        <v>39</v>
      </c>
      <c r="BC1" t="s" s="144">
        <v>220</v>
      </c>
      <c r="BD1" t="s" s="145">
        <v>221</v>
      </c>
      <c r="BE1" t="s" s="146">
        <v>222</v>
      </c>
      <c r="BF1" t="s" s="147">
        <v>223</v>
      </c>
      <c r="BG1" t="s" s="148">
        <v>224</v>
      </c>
      <c r="BH1" t="s" s="149">
        <v>225</v>
      </c>
      <c r="BI1" t="s" s="150">
        <v>226</v>
      </c>
      <c r="BJ1" t="s" s="151">
        <v>227</v>
      </c>
      <c r="BK1" t="s" s="152">
        <v>228</v>
      </c>
      <c r="BL1" t="s" s="153">
        <v>229</v>
      </c>
      <c r="BM1" t="s" s="154">
        <v>230</v>
      </c>
      <c r="BN1" t="s" s="155">
        <v>231</v>
      </c>
      <c r="BO1" t="s" s="156">
        <v>232</v>
      </c>
      <c r="BP1" t="s" s="157">
        <v>233</v>
      </c>
      <c r="BQ1" t="s" s="158">
        <v>234</v>
      </c>
      <c r="BR1" t="s" s="159">
        <v>235</v>
      </c>
      <c r="BS1" t="s" s="160">
        <v>236</v>
      </c>
      <c r="BT1" t="s" s="161">
        <v>237</v>
      </c>
      <c r="BU1" t="s" s="162">
        <v>238</v>
      </c>
      <c r="BV1" t="s" s="163">
        <v>239</v>
      </c>
      <c r="BW1" t="s" s="164">
        <v>240</v>
      </c>
      <c r="BX1" t="s" s="165">
        <v>241</v>
      </c>
      <c r="BY1" t="s" s="166">
        <v>242</v>
      </c>
      <c r="BZ1" t="s" s="167">
        <v>243</v>
      </c>
      <c r="CA1" t="s" s="168">
        <v>244</v>
      </c>
      <c r="CB1" t="s" s="169">
        <v>245</v>
      </c>
      <c r="CC1" t="s" s="170">
        <v>246</v>
      </c>
      <c r="CD1" t="s" s="171">
        <v>247</v>
      </c>
      <c r="CE1" t="s" s="172">
        <v>248</v>
      </c>
      <c r="CF1" t="s" s="173">
        <v>249</v>
      </c>
      <c r="CG1" t="s" s="174">
        <v>250</v>
      </c>
      <c r="CH1" t="s" s="175">
        <v>251</v>
      </c>
      <c r="CI1" t="s" s="176">
        <v>252</v>
      </c>
      <c r="CJ1" t="s" s="177">
        <v>253</v>
      </c>
      <c r="CK1" t="s" s="178">
        <v>254</v>
      </c>
      <c r="CL1" t="s" s="179">
        <v>255</v>
      </c>
      <c r="CM1" t="s" s="180">
        <v>256</v>
      </c>
      <c r="CN1" t="s" s="181">
        <v>257</v>
      </c>
      <c r="CO1" t="s" s="182">
        <v>258</v>
      </c>
      <c r="CP1" t="s" s="183">
        <v>259</v>
      </c>
      <c r="CQ1" t="s" s="184">
        <v>260</v>
      </c>
      <c r="CR1" t="s" s="185">
        <v>261</v>
      </c>
      <c r="CS1" t="s" s="186">
        <v>262</v>
      </c>
      <c r="CT1" t="s" s="187">
        <v>263</v>
      </c>
      <c r="CU1" t="s" s="188">
        <v>264</v>
      </c>
      <c r="CV1" t="s" s="189">
        <v>265</v>
      </c>
      <c r="CW1" t="s" s="190">
        <v>266</v>
      </c>
      <c r="CX1" t="s" s="191">
        <v>267</v>
      </c>
      <c r="CY1" t="s" s="192">
        <v>268</v>
      </c>
      <c r="CZ1" t="s" s="193">
        <v>269</v>
      </c>
      <c r="DA1" t="s" s="194">
        <v>270</v>
      </c>
    </row>
    <row r="2" spans="1:2" x14ac:dyDescent="0.25">
      <c r="A2" t="s">
        <v>16</v>
      </c>
      <c r="B2" t="n">
        <f>CF!A65532</f>
        <v>0.0</v>
      </c>
    </row>
    <row r="4" spans="1:2" x14ac:dyDescent="0.25">
      <c r="A4" t="s">
        <v>102</v>
      </c>
      <c r="B4" t="n">
        <f>'Comp. Analysis'!A65537</f>
        <v>0.0</v>
      </c>
    </row>
    <row r="5" spans="1:2" x14ac:dyDescent="0.25">
      <c r="A5" t="s">
        <v>134</v>
      </c>
      <c r="B5" t="n">
        <f>BS!A65530</f>
        <v>0.0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Y69"/>
  <sheetViews>
    <sheetView showGridLines="0" showRowColHeaders="0" showZeros="0" tabSelected="1" topLeftCell="A26" zoomScaleNormal="100" workbookViewId="0">
      <selection activeCell="G80" sqref="G80"/>
    </sheetView>
  </sheetViews>
  <sheetFormatPr defaultRowHeight="14.3" outlineLevelRow="1" x14ac:dyDescent="0.25"/>
  <cols>
    <col min="1" max="1" customWidth="true" width="3.0" collapsed="true"/>
    <col min="2" max="2" customWidth="true" width="36.42578125" collapsed="true"/>
    <col min="3" max="3" customWidth="true" width="18.5703125" collapsed="true"/>
    <col min="4" max="4" customWidth="true" style="4" width="18.85546875" collapsed="true"/>
    <col min="5" max="5" customWidth="true" style="4" width="1.42578125" collapsed="true"/>
    <col min="6" max="7" customWidth="true" style="4" width="13.42578125" collapsed="true"/>
    <col min="8" max="8" customWidth="true" width="9.28515625" collapsed="true"/>
    <col min="9" max="9" customWidth="true" width="14.42578125" collapsed="true"/>
    <col min="11" max="11" customWidth="true" width="12.140625" collapsed="true"/>
    <col min="12" max="12" customWidth="true" width="1.42578125" collapsed="true"/>
    <col min="19" max="32" customWidth="true" width="9.140625" collapsed="true"/>
  </cols>
  <sheetData>
    <row r="1" spans="1:51" ht="21.4" customHeight="1" collapsed="1" x14ac:dyDescent="0.25">
      <c r="A1" s="1"/>
      <c r="B1" s="59" t="s">
        <v>167</v>
      </c>
      <c r="C1" s="1"/>
      <c r="D1" s="2"/>
      <c r="E1" s="2"/>
      <c r="F1" s="44" t="s">
        <v>122</v>
      </c>
      <c r="G1" s="74" t="n">
        <f>C24/C9</f>
        <v>0.5775180683584319</v>
      </c>
      <c r="H1" s="75" t="str">
        <f>IF(G1&gt;73.2%,"x","")</f>
        <v/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51" ht="23.7" hidden="1" customHeight="1" outlineLevel="1" x14ac:dyDescent="0.25">
      <c r="A2" s="3"/>
      <c r="B2" s="78" t="s">
        <v>271</v>
      </c>
      <c r="C2" s="78"/>
      <c r="D2" s="30"/>
      <c r="G2" s="3"/>
      <c r="H2" s="3"/>
      <c r="I2" s="3"/>
      <c r="J2" s="3"/>
      <c r="K2" s="3"/>
      <c r="L2" s="3"/>
      <c r="M2" s="3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51" ht="23.7" hidden="1" customHeight="1" outlineLevel="1" x14ac:dyDescent="0.25">
      <c r="A3" s="1"/>
      <c r="B3" s="78" t="s">
        <v>272</v>
      </c>
      <c r="C3" s="78"/>
      <c r="D3" s="24"/>
      <c r="E3" s="24"/>
      <c r="F3" s="2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51" ht="13.55" hidden="1" customHeight="1" x14ac:dyDescent="0.25">
      <c r="A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51" ht="5.7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51" ht="23.9" customHeight="1" thickBot="1" x14ac:dyDescent="0.3">
      <c r="A6" s="1"/>
      <c r="C6" s="159" t="s">
        <v>273</v>
      </c>
      <c r="D6" s="159" t="s">
        <v>274</v>
      </c>
      <c r="E6" s="207" t="s">
        <v>275</v>
      </c>
      <c r="F6" s="159" t="s">
        <v>120</v>
      </c>
      <c r="G6" s="159" t="s">
        <v>121</v>
      </c>
      <c r="H6" s="1"/>
      <c r="I6" s="80"/>
      <c r="J6" s="80"/>
      <c r="K6" s="80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51" ht="15.7" thickTop="1" thickBot="1" x14ac:dyDescent="0.3">
      <c r="A7" s="1"/>
      <c r="B7" s="197" t="s">
        <v>143</v>
      </c>
      <c r="C7" s="204" t="n">
        <v>2.7256866143685803E7</v>
      </c>
      <c r="D7" s="204" t="n">
        <v>2.6308523610130098E7</v>
      </c>
      <c r="E7" s="206"/>
      <c r="F7" s="204" t="n">
        <f>C7-D7</f>
        <v>948342.5335557051</v>
      </c>
      <c r="G7" s="205" t="n">
        <f t="shared" ref="G7:G34" si="0">IF(D7=0,0,((C7-D7)/ABS(D7)))</f>
        <v>0.03604696894471668</v>
      </c>
      <c r="H7" s="1"/>
      <c r="I7" s="32"/>
      <c r="J7" s="33"/>
      <c r="K7" s="33"/>
      <c r="L7" s="1"/>
      <c r="M7" s="5"/>
      <c r="N7" s="1"/>
      <c r="O7" s="1"/>
      <c r="P7" s="1"/>
      <c r="Q7" s="1"/>
      <c r="R7" s="1"/>
      <c r="AB7" s="49"/>
      <c r="AC7" s="14" t="s">
        <v>158</v>
      </c>
      <c r="AD7" s="14" t="s">
        <v>159</v>
      </c>
      <c r="AE7" s="14" t="s">
        <v>22</v>
      </c>
      <c r="AF7" s="14" t="s">
        <v>160</v>
      </c>
      <c r="AG7" s="14" t="s">
        <v>161</v>
      </c>
      <c r="AH7" s="14" t="s">
        <v>103</v>
      </c>
      <c r="AI7" s="14" t="s">
        <v>162</v>
      </c>
      <c r="AJ7" s="14" t="s">
        <v>163</v>
      </c>
      <c r="AK7" s="14" t="s">
        <v>104</v>
      </c>
      <c r="AL7" s="14" t="s">
        <v>164</v>
      </c>
      <c r="AM7" s="14" t="s">
        <v>165</v>
      </c>
      <c r="AN7" s="14" t="s">
        <v>105</v>
      </c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</row>
    <row r="8" spans="1:51" ht="15" thickTop="1" x14ac:dyDescent="0.25">
      <c r="A8" s="1"/>
      <c r="B8" s="197" t="s">
        <v>144</v>
      </c>
      <c r="C8" s="204" t="n">
        <v>181026.889999996</v>
      </c>
      <c r="D8" s="204" t="n">
        <v>181026.889999996</v>
      </c>
      <c r="E8" s="206"/>
      <c r="F8" s="204" t="n">
        <f>C8-D8</f>
        <v>0.0</v>
      </c>
      <c r="G8" s="205" t="n">
        <f t="shared" si="0"/>
        <v>0.0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AA8" s="22" t="s">
        <v>273</v>
      </c>
      <c r="AB8" s="22" t="s">
        <v>145</v>
      </c>
      <c r="AC8" s="73" t="n">
        <v>1828920.580752855</v>
      </c>
      <c r="AD8" s="73" t="n">
        <v>1924391.183391433</v>
      </c>
      <c r="AE8" s="73" t="n">
        <v>2166964.451249679</v>
      </c>
      <c r="AF8" s="73" t="n">
        <v>2104789.610181517</v>
      </c>
      <c r="AG8" s="73" t="n">
        <v>2154854.477186931</v>
      </c>
      <c r="AH8" s="73" t="n">
        <v>2020029.667226114</v>
      </c>
      <c r="AI8" s="73" t="n">
        <v>2212673.050105403</v>
      </c>
      <c r="AJ8" s="73" t="n">
        <v>2201719.123386559</v>
      </c>
      <c r="AK8" s="73" t="n">
        <v>2338193.310223054</v>
      </c>
      <c r="AL8" s="73" t="n">
        <v>3506068.022294856</v>
      </c>
      <c r="AM8" s="73" t="n">
        <v>2405970.548114889</v>
      </c>
      <c r="AN8" s="73" t="n">
        <v>2573319.009572509</v>
      </c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</row>
    <row r="9" spans="1:51" x14ac:dyDescent="0.25">
      <c r="A9" s="1"/>
      <c r="B9" s="198" t="s">
        <v>145</v>
      </c>
      <c r="C9" s="196" t="n">
        <f>C7+C8</f>
        <v>2.74378930336858E7</v>
      </c>
      <c r="D9" s="196" t="n">
        <f>D7+D8</f>
        <v>2.6489550500130095E7</v>
      </c>
      <c r="E9" s="200"/>
      <c r="F9" s="196" t="n">
        <f>F7+F8</f>
        <v>948342.5335557051</v>
      </c>
      <c r="G9" s="201" t="n">
        <f t="shared" si="0"/>
        <v>0.03580062763054615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AA9" s="22" t="s">
        <v>273</v>
      </c>
      <c r="AB9" s="22" t="s">
        <v>149</v>
      </c>
      <c r="AC9" s="19" t="n">
        <v>227478.03962197</v>
      </c>
      <c r="AD9" s="19" t="n">
        <v>179243.967986932</v>
      </c>
      <c r="AE9" s="19" t="n">
        <v>442473.647664209</v>
      </c>
      <c r="AF9" s="19" t="n">
        <v>646280.350132752</v>
      </c>
      <c r="AG9" s="19" t="n">
        <v>612624.339835197</v>
      </c>
      <c r="AH9" s="19" t="n">
        <v>562691.971092553</v>
      </c>
      <c r="AI9" s="19" t="n">
        <v>781324.115175826</v>
      </c>
      <c r="AJ9" s="19" t="n">
        <v>731680.280733983</v>
      </c>
      <c r="AK9" s="19" t="n">
        <v>780877.564532002</v>
      </c>
      <c r="AL9" s="19" t="n">
        <v>1277247.24448493</v>
      </c>
      <c r="AM9" s="19" t="n">
        <v>916578.514475643</v>
      </c>
      <c r="AN9" s="19" t="n">
        <v>-1834909.609135112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</row>
    <row r="10" spans="1:51" x14ac:dyDescent="0.25">
      <c r="A10" s="1"/>
      <c r="B10" s="197" t="s">
        <v>24</v>
      </c>
      <c r="C10" s="204" t="n">
        <v>3790875.497294385</v>
      </c>
      <c r="D10" s="204" t="n">
        <v>3790875.497294385</v>
      </c>
      <c r="E10" s="206"/>
      <c r="F10" s="204" t="n">
        <f>C10-D10</f>
        <v>0.0</v>
      </c>
      <c r="G10" s="205" t="n">
        <f t="shared" si="0"/>
        <v>0.0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AA10" s="22" t="s">
        <v>273</v>
      </c>
      <c r="AB10" s="22" t="s">
        <v>17</v>
      </c>
      <c r="AC10" s="19" t="n">
        <v>-36320.641591727</v>
      </c>
      <c r="AD10" s="19" t="n">
        <v>443042.649200629</v>
      </c>
      <c r="AE10" s="19" t="n">
        <v>442473.647664209</v>
      </c>
      <c r="AF10" s="19" t="n">
        <v>646280.350132752</v>
      </c>
      <c r="AG10" s="19" t="n">
        <v>612624.339835197</v>
      </c>
      <c r="AH10" s="19" t="n">
        <v>562691.971092553</v>
      </c>
      <c r="AI10" s="19" t="n">
        <v>581324.115175826</v>
      </c>
      <c r="AJ10" s="19" t="n">
        <v>910680.280733983</v>
      </c>
      <c r="AK10" s="19" t="n">
        <v>571877.564532002</v>
      </c>
      <c r="AL10" s="19" t="n">
        <v>1507247.24448493</v>
      </c>
      <c r="AM10" s="19" t="n">
        <v>916578.514475643</v>
      </c>
      <c r="AN10" s="19" t="n">
        <v>-2184909.609135112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</row>
    <row r="11" spans="1:51" x14ac:dyDescent="0.25">
      <c r="A11" s="1"/>
      <c r="B11" s="198" t="s">
        <v>146</v>
      </c>
      <c r="C11" s="196" t="n">
        <f>-(C10-C9)</f>
        <v>2.3647017536391415E7</v>
      </c>
      <c r="D11" s="196" t="n">
        <f>-(D10-D9)</f>
        <v>2.269867500283571E7</v>
      </c>
      <c r="E11" s="200"/>
      <c r="F11" s="196" t="n">
        <f>-(F10-F9)</f>
        <v>948342.5335557051</v>
      </c>
      <c r="G11" s="201" t="n">
        <f t="shared" si="0"/>
        <v>0.04177964279576804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22" t="s">
        <v>274</v>
      </c>
      <c r="AB11" s="22" t="s">
        <v>145</v>
      </c>
      <c r="AC11" s="19" t="n">
        <v>1770391.889473824</v>
      </c>
      <c r="AD11" s="19" t="n">
        <v>1863938.666608919</v>
      </c>
      <c r="AE11" s="19" t="n">
        <v>2078784.535143891</v>
      </c>
      <c r="AF11" s="19" t="n">
        <v>2024277.512867536</v>
      </c>
      <c r="AG11" s="19" t="n">
        <v>2070508.470477049</v>
      </c>
      <c r="AH11" s="19" t="n">
        <v>1931849.751120326</v>
      </c>
      <c r="AI11" s="19" t="n">
        <v>2128327.043395521</v>
      </c>
      <c r="AJ11" s="19" t="n">
        <v>2113539.207280771</v>
      </c>
      <c r="AK11" s="19" t="n">
        <v>2257681.212909073</v>
      </c>
      <c r="AL11" s="19" t="n">
        <v>3421722.015584974</v>
      </c>
      <c r="AM11" s="19" t="n">
        <v>2324207.96422375</v>
      </c>
      <c r="AN11" s="19" t="n">
        <v>2504322.231044461</v>
      </c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</row>
    <row r="12" spans="1:51" x14ac:dyDescent="0.25">
      <c r="A12" s="1"/>
      <c r="B12" s="197" t="s">
        <v>25</v>
      </c>
      <c r="C12" s="204" t="n">
        <v>540852.125151033</v>
      </c>
      <c r="D12" s="204" t="n">
        <v>540852.125151033</v>
      </c>
      <c r="E12" s="206"/>
      <c r="F12" s="204" t="n">
        <f>C12-D12</f>
        <v>0.0</v>
      </c>
      <c r="G12" s="205" t="n">
        <f t="shared" si="0"/>
        <v>0.0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22" t="s">
        <v>274</v>
      </c>
      <c r="AB12" s="22" t="s">
        <v>149</v>
      </c>
      <c r="AC12" s="19" t="n">
        <v>168949.348342939</v>
      </c>
      <c r="AD12" s="19" t="n">
        <v>118791.451204418</v>
      </c>
      <c r="AE12" s="19" t="n">
        <v>354293.731558421</v>
      </c>
      <c r="AF12" s="19" t="n">
        <v>565768.252818771</v>
      </c>
      <c r="AG12" s="19" t="n">
        <v>528278.333125315</v>
      </c>
      <c r="AH12" s="19" t="n">
        <v>474512.054986765</v>
      </c>
      <c r="AI12" s="19" t="n">
        <v>696978.108465944</v>
      </c>
      <c r="AJ12" s="19" t="n">
        <v>643500.364628195</v>
      </c>
      <c r="AK12" s="19" t="n">
        <v>700365.467218021</v>
      </c>
      <c r="AL12" s="19" t="n">
        <v>1192901.237775048</v>
      </c>
      <c r="AM12" s="19" t="n">
        <v>834815.930584504</v>
      </c>
      <c r="AN12" s="19" t="n">
        <v>-1903906.38766316</v>
      </c>
    </row>
    <row r="13" spans="1:51" x14ac:dyDescent="0.25">
      <c r="A13" s="1"/>
      <c r="B13" s="197" t="s">
        <v>26</v>
      </c>
      <c r="C13" s="204" t="n">
        <v>1936695.999999997</v>
      </c>
      <c r="D13" s="204" t="n">
        <v>1936695.999999997</v>
      </c>
      <c r="E13" s="206"/>
      <c r="F13" s="204" t="n">
        <f>C13-D13</f>
        <v>0.0</v>
      </c>
      <c r="G13" s="205" t="n">
        <f t="shared" si="0"/>
        <v>0.0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22" t="s">
        <v>274</v>
      </c>
      <c r="AB13" s="22" t="s">
        <v>17</v>
      </c>
      <c r="AC13" s="19" t="n">
        <v>-94849.332870758</v>
      </c>
      <c r="AD13" s="19" t="n">
        <v>382590.132418115</v>
      </c>
      <c r="AE13" s="19" t="n">
        <v>354293.731558421</v>
      </c>
      <c r="AF13" s="19" t="n">
        <v>565768.252818771</v>
      </c>
      <c r="AG13" s="19" t="n">
        <v>528278.333125315</v>
      </c>
      <c r="AH13" s="19" t="n">
        <v>474512.054986765</v>
      </c>
      <c r="AI13" s="19" t="n">
        <v>496978.108465944</v>
      </c>
      <c r="AJ13" s="19" t="n">
        <v>822500.364628195</v>
      </c>
      <c r="AK13" s="19" t="n">
        <v>491365.467218021</v>
      </c>
      <c r="AL13" s="19" t="n">
        <v>1422901.237775048</v>
      </c>
      <c r="AM13" s="19" t="n">
        <v>834815.930584504</v>
      </c>
      <c r="AN13" s="19" t="n">
        <v>-2253906.38766316</v>
      </c>
    </row>
    <row r="14" spans="1:51" x14ac:dyDescent="0.25">
      <c r="A14" s="1"/>
      <c r="B14" s="198" t="s">
        <v>27</v>
      </c>
      <c r="C14" s="196" t="n">
        <f>C12+C13</f>
        <v>2477548.12515103</v>
      </c>
      <c r="D14" s="196" t="n">
        <f>D12+D13</f>
        <v>2477548.12515103</v>
      </c>
      <c r="E14" s="200"/>
      <c r="F14" s="196" t="n">
        <f>F12+F13</f>
        <v>0.0</v>
      </c>
      <c r="G14" s="201" t="n">
        <f t="shared" si="0"/>
        <v>0.0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6" t="s">
        <v>166</v>
      </c>
      <c r="AB14" s="16" t="s">
        <v>145</v>
      </c>
      <c r="AC14" s="17" t="n">
        <f t="shared" ref="AC14:AN14" si="1">AC8-AC11</f>
        <v>58528.69127903087</v>
      </c>
      <c r="AD14" s="17" t="n">
        <f t="shared" si="1"/>
        <v>60452.51678251405</v>
      </c>
      <c r="AE14" s="17" t="n">
        <f t="shared" si="1"/>
        <v>88179.9161057882</v>
      </c>
      <c r="AF14" s="17" t="n">
        <f t="shared" si="1"/>
        <v>80512.09731398104</v>
      </c>
      <c r="AG14" s="17" t="n">
        <f t="shared" si="1"/>
        <v>84346.00670988183</v>
      </c>
      <c r="AH14" s="17" t="n">
        <f t="shared" si="1"/>
        <v>88179.91610578797</v>
      </c>
      <c r="AI14" s="17" t="n">
        <f t="shared" si="1"/>
        <v>84346.00670988206</v>
      </c>
      <c r="AJ14" s="17" t="n">
        <f t="shared" si="1"/>
        <v>88179.9161057882</v>
      </c>
      <c r="AK14" s="17" t="n">
        <f t="shared" si="1"/>
        <v>80512.09731398104</v>
      </c>
      <c r="AL14" s="17" t="n">
        <f t="shared" si="1"/>
        <v>84346.00670988206</v>
      </c>
      <c r="AM14" s="17" t="n">
        <f t="shared" si="1"/>
        <v>81762.5838911389</v>
      </c>
      <c r="AN14" s="17" t="n">
        <f t="shared" si="1"/>
        <v>68996.77852804819</v>
      </c>
    </row>
    <row r="15" spans="1:51" x14ac:dyDescent="0.25">
      <c r="A15" s="1"/>
      <c r="B15" s="198" t="s">
        <v>147</v>
      </c>
      <c r="C15" s="196" t="n">
        <f>-(C14-C11)</f>
        <v>2.1169469411240384E7</v>
      </c>
      <c r="D15" s="196" t="n">
        <f>-(D14-D11)</f>
        <v>2.022112687768468E7</v>
      </c>
      <c r="E15" s="200"/>
      <c r="F15" s="196" t="n">
        <f>-(F14-F11)</f>
        <v>948342.5335557051</v>
      </c>
      <c r="G15" s="201" t="n">
        <f t="shared" si="0"/>
        <v>0.04689859963255868</v>
      </c>
      <c r="H15" s="1"/>
      <c r="I15" s="1"/>
      <c r="J15" s="1"/>
      <c r="K15" s="1"/>
      <c r="L15" s="1"/>
      <c r="M15" s="6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6" t="s">
        <v>166</v>
      </c>
      <c r="AB15" s="16" t="s">
        <v>149</v>
      </c>
      <c r="AC15" s="17" t="n">
        <f t="shared" ref="AC15:AN15" si="2">AC9-AC12</f>
        <v>58528.691279031016</v>
      </c>
      <c r="AD15" s="17" t="n">
        <f t="shared" si="2"/>
        <v>60452.516782513994</v>
      </c>
      <c r="AE15" s="17" t="n">
        <f t="shared" si="2"/>
        <v>88179.91610578803</v>
      </c>
      <c r="AF15" s="17" t="n">
        <f t="shared" si="2"/>
        <v>80512.09731398092</v>
      </c>
      <c r="AG15" s="17" t="n">
        <f t="shared" si="2"/>
        <v>84346.00670988194</v>
      </c>
      <c r="AH15" s="17" t="n">
        <f t="shared" si="2"/>
        <v>88179.91610578797</v>
      </c>
      <c r="AI15" s="17" t="n">
        <f t="shared" si="2"/>
        <v>84346.00670988206</v>
      </c>
      <c r="AJ15" s="17" t="n">
        <f t="shared" si="2"/>
        <v>88179.91610578808</v>
      </c>
      <c r="AK15" s="17" t="n">
        <f t="shared" si="2"/>
        <v>80512.09731398092</v>
      </c>
      <c r="AL15" s="17" t="n">
        <f t="shared" si="2"/>
        <v>84346.00670988206</v>
      </c>
      <c r="AM15" s="17" t="n">
        <f t="shared" si="2"/>
        <v>81762.58389113902</v>
      </c>
      <c r="AN15" s="17" t="n">
        <f t="shared" si="2"/>
        <v>68996.77852804796</v>
      </c>
    </row>
    <row r="16" spans="1:51" x14ac:dyDescent="0.25">
      <c r="A16" s="1"/>
      <c r="B16" s="197" t="s">
        <v>28</v>
      </c>
      <c r="C16" s="204" t="n">
        <v>1474115.642241533</v>
      </c>
      <c r="D16" s="204" t="n">
        <v>1474115.642241533</v>
      </c>
      <c r="E16" s="206"/>
      <c r="F16" s="204" t="n">
        <f t="shared" ref="F16:F23" si="3">C16-D16</f>
        <v>0.0</v>
      </c>
      <c r="G16" s="205" t="n">
        <f t="shared" si="0"/>
        <v>0.0</v>
      </c>
      <c r="H16" s="1"/>
      <c r="I16" s="1"/>
      <c r="J16" s="1"/>
      <c r="K16" s="1"/>
      <c r="L16" s="1"/>
      <c r="M16" s="7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6" t="s">
        <v>166</v>
      </c>
      <c r="AB16" s="16" t="s">
        <v>17</v>
      </c>
      <c r="AC16" s="17" t="n">
        <f t="shared" ref="AC16:AN16" si="4">AC10-AC13</f>
        <v>58528.691279030994</v>
      </c>
      <c r="AD16" s="17" t="n">
        <f t="shared" si="4"/>
        <v>60452.516782513994</v>
      </c>
      <c r="AE16" s="17" t="n">
        <f t="shared" si="4"/>
        <v>88179.91610578803</v>
      </c>
      <c r="AF16" s="17" t="n">
        <f t="shared" si="4"/>
        <v>80512.09731398092</v>
      </c>
      <c r="AG16" s="17" t="n">
        <f t="shared" si="4"/>
        <v>84346.00670988194</v>
      </c>
      <c r="AH16" s="17" t="n">
        <f t="shared" si="4"/>
        <v>88179.91610578797</v>
      </c>
      <c r="AI16" s="17" t="n">
        <f t="shared" si="4"/>
        <v>84346.006709882</v>
      </c>
      <c r="AJ16" s="17" t="n">
        <f t="shared" si="4"/>
        <v>88179.91610578808</v>
      </c>
      <c r="AK16" s="17" t="n">
        <f t="shared" si="4"/>
        <v>80512.09731398098</v>
      </c>
      <c r="AL16" s="17" t="n">
        <f t="shared" si="4"/>
        <v>84346.00670988206</v>
      </c>
      <c r="AM16" s="17" t="n">
        <f t="shared" si="4"/>
        <v>81762.58389113902</v>
      </c>
      <c r="AN16" s="17" t="n">
        <f t="shared" si="4"/>
        <v>68996.77852804819</v>
      </c>
    </row>
    <row r="17" spans="1:40" x14ac:dyDescent="0.25">
      <c r="A17" s="1"/>
      <c r="B17" s="197" t="s">
        <v>29</v>
      </c>
      <c r="C17" s="204" t="n">
        <v>98896.952918629</v>
      </c>
      <c r="D17" s="204" t="n">
        <v>98896.952918629</v>
      </c>
      <c r="E17" s="206"/>
      <c r="F17" s="204" t="n">
        <f t="shared" si="3"/>
        <v>0.0</v>
      </c>
      <c r="G17" s="205" t="n">
        <f t="shared" si="0"/>
        <v>0.0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40" x14ac:dyDescent="0.25">
      <c r="A18" s="1"/>
      <c r="B18" s="197" t="s">
        <v>30</v>
      </c>
      <c r="C18" s="204" t="n">
        <v>2359402.485009472</v>
      </c>
      <c r="D18" s="204" t="n">
        <v>2359402.485009472</v>
      </c>
      <c r="E18" s="206"/>
      <c r="F18" s="204" t="n">
        <f t="shared" si="3"/>
        <v>0.0</v>
      </c>
      <c r="G18" s="205" t="n">
        <f t="shared" si="0"/>
        <v>0.0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40" x14ac:dyDescent="0.25">
      <c r="A19" s="1"/>
      <c r="B19" s="197" t="s">
        <v>31</v>
      </c>
      <c r="C19" s="204" t="n">
        <v>1749969.567604986</v>
      </c>
      <c r="D19" s="204" t="n">
        <v>1749969.567604986</v>
      </c>
      <c r="E19" s="206"/>
      <c r="F19" s="204" t="n">
        <f t="shared" si="3"/>
        <v>0.0</v>
      </c>
      <c r="G19" s="205" t="n">
        <f t="shared" si="0"/>
        <v>0.0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B19" s="77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</row>
    <row r="20" spans="1:40" x14ac:dyDescent="0.25">
      <c r="A20" s="1"/>
      <c r="B20" s="197" t="s">
        <v>32</v>
      </c>
      <c r="C20" s="204" t="n">
        <v>7854134.980505655</v>
      </c>
      <c r="D20" s="204" t="n">
        <v>7854134.980505655</v>
      </c>
      <c r="E20" s="206"/>
      <c r="F20" s="204" t="n">
        <f t="shared" si="3"/>
        <v>0.0</v>
      </c>
      <c r="G20" s="205" t="n">
        <f t="shared" si="0"/>
        <v>0.0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40" x14ac:dyDescent="0.25">
      <c r="A21" s="1"/>
      <c r="B21" s="197" t="s">
        <v>33</v>
      </c>
      <c r="C21" s="204" t="n">
        <v>1128976.249999992</v>
      </c>
      <c r="D21" s="204" t="n">
        <v>1128976.249999992</v>
      </c>
      <c r="E21" s="206"/>
      <c r="F21" s="204" t="n">
        <f t="shared" si="3"/>
        <v>0.0</v>
      </c>
      <c r="G21" s="205" t="n">
        <f t="shared" si="0"/>
        <v>0.0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40" x14ac:dyDescent="0.25">
      <c r="A22" s="1"/>
      <c r="B22" s="197" t="s">
        <v>34</v>
      </c>
      <c r="C22" s="204" t="n">
        <v>1180383.106359232</v>
      </c>
      <c r="D22" s="204" t="n">
        <v>1180383.106359232</v>
      </c>
      <c r="E22" s="206"/>
      <c r="F22" s="204" t="n">
        <f t="shared" si="3"/>
        <v>0.0</v>
      </c>
      <c r="G22" s="205" t="n">
        <f t="shared" si="0"/>
        <v>0.0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40" x14ac:dyDescent="0.25">
      <c r="A23" s="1"/>
      <c r="B23" s="197" t="s">
        <v>35</v>
      </c>
      <c r="C23" s="204"/>
      <c r="D23" s="204"/>
      <c r="E23" s="206"/>
      <c r="F23" s="204" t="n">
        <f t="shared" si="3"/>
        <v>0.0</v>
      </c>
      <c r="G23" s="205" t="n">
        <f t="shared" si="0"/>
        <v>0.0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40" x14ac:dyDescent="0.25">
      <c r="A24" s="1"/>
      <c r="B24" s="198" t="s">
        <v>148</v>
      </c>
      <c r="C24" s="196" t="n">
        <f>C16+C17+C18+C19+C22+C20+C21+C23</f>
        <v>1.58458789846395E7</v>
      </c>
      <c r="D24" s="196" t="n">
        <f>D16+D17+D18+D19+D22+D20+D21+D23</f>
        <v>1.58458789846395E7</v>
      </c>
      <c r="E24" s="200"/>
      <c r="F24" s="196" t="n">
        <f>F16+F17+F18+F19+F22+F20+F21+F23</f>
        <v>0.0</v>
      </c>
      <c r="G24" s="201" t="n">
        <f t="shared" si="0"/>
        <v>0.0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</row>
    <row r="25" spans="1:40" x14ac:dyDescent="0.25">
      <c r="A25" s="1"/>
      <c r="B25" s="198" t="s">
        <v>149</v>
      </c>
      <c r="C25" s="196" t="n">
        <f>-(C24-C15)</f>
        <v>5323590.426600885</v>
      </c>
      <c r="D25" s="196" t="n">
        <f>-(D24-D15)</f>
        <v>4375247.89304518</v>
      </c>
      <c r="E25" s="200"/>
      <c r="F25" s="196" t="n">
        <f>-(F24-F15)</f>
        <v>948342.5335557051</v>
      </c>
      <c r="G25" s="201" t="n">
        <f t="shared" si="0"/>
        <v>0.21675172624234035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40" x14ac:dyDescent="0.25">
      <c r="A26" s="1"/>
      <c r="B26" s="197" t="s">
        <v>150</v>
      </c>
      <c r="C26" s="204"/>
      <c r="D26" s="204"/>
      <c r="E26" s="206"/>
      <c r="F26" s="204" t="n">
        <f>C26-D26</f>
        <v>0.0</v>
      </c>
      <c r="G26" s="205" t="n">
        <f t="shared" si="0"/>
        <v>0.0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40" x14ac:dyDescent="0.25">
      <c r="A27" s="1"/>
      <c r="B27" s="197" t="s">
        <v>151</v>
      </c>
      <c r="C27" s="204"/>
      <c r="D27" s="204"/>
      <c r="E27" s="206"/>
      <c r="F27" s="204" t="n">
        <f>C27-D27</f>
        <v>0.0</v>
      </c>
      <c r="G27" s="205" t="n">
        <f t="shared" si="0"/>
        <v>0.0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40" x14ac:dyDescent="0.25">
      <c r="A28" s="1"/>
      <c r="B28" s="197" t="s">
        <v>37</v>
      </c>
      <c r="C28" s="204"/>
      <c r="D28" s="204"/>
      <c r="E28" s="206"/>
      <c r="F28" s="204" t="n">
        <f>C28-D28</f>
        <v>0.0</v>
      </c>
      <c r="G28" s="205" t="n">
        <f t="shared" si="0"/>
        <v>0.0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40" x14ac:dyDescent="0.25">
      <c r="A29" s="1"/>
      <c r="B29" s="197" t="s">
        <v>152</v>
      </c>
      <c r="C29" s="204" t="n">
        <v>-350000.0</v>
      </c>
      <c r="D29" s="204" t="n">
        <v>-350000.0</v>
      </c>
      <c r="E29" s="206"/>
      <c r="F29" s="204" t="n">
        <f>C29-D29</f>
        <v>0.0</v>
      </c>
      <c r="G29" s="205" t="n">
        <f t="shared" si="0"/>
        <v>0.0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40" x14ac:dyDescent="0.25">
      <c r="A30" s="1"/>
      <c r="B30" s="198" t="s">
        <v>153</v>
      </c>
      <c r="C30" s="196" t="n">
        <f>C25+C26+C27+C28+C29</f>
        <v>4973590.426600885</v>
      </c>
      <c r="D30" s="196" t="n">
        <f>D25+D26+D27+D28+D29</f>
        <v>4025247.8930451795</v>
      </c>
      <c r="E30" s="200"/>
      <c r="F30" s="196" t="n">
        <f>F25+F26+F27+F28+F29</f>
        <v>948342.5335557051</v>
      </c>
      <c r="G30" s="201" t="n">
        <f t="shared" si="0"/>
        <v>0.23559854169335773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40" x14ac:dyDescent="0.25">
      <c r="A31" s="1"/>
      <c r="B31" s="197" t="s">
        <v>15</v>
      </c>
      <c r="C31" s="204"/>
      <c r="D31" s="204"/>
      <c r="E31" s="206"/>
      <c r="F31" s="204" t="n">
        <f>C31-D31</f>
        <v>0.0</v>
      </c>
      <c r="G31" s="205" t="n">
        <f t="shared" si="0"/>
        <v>0.0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40" x14ac:dyDescent="0.25">
      <c r="A32" s="1"/>
      <c r="B32" s="198" t="s">
        <v>17</v>
      </c>
      <c r="C32" s="196" t="n">
        <f>-(C31-C30)</f>
        <v>4973590.426600885</v>
      </c>
      <c r="D32" s="196" t="n">
        <f>-(D31-D30)</f>
        <v>4025247.8930451795</v>
      </c>
      <c r="E32" s="200"/>
      <c r="F32" s="196" t="n">
        <f>-(F31-F30)</f>
        <v>948342.5335557051</v>
      </c>
      <c r="G32" s="201" t="n">
        <f t="shared" si="0"/>
        <v>0.23559854169335773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97" t="s">
        <v>18</v>
      </c>
      <c r="C33" s="204"/>
      <c r="D33" s="204"/>
      <c r="E33" s="206"/>
      <c r="F33" s="204" t="n">
        <f>C33-D33</f>
        <v>0.0</v>
      </c>
      <c r="G33" s="205" t="n">
        <f t="shared" si="0"/>
        <v>0.0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" thickBot="1" x14ac:dyDescent="0.3">
      <c r="A34" s="1"/>
      <c r="B34" s="208" t="s">
        <v>19</v>
      </c>
      <c r="C34" s="209" t="n">
        <f>C32+C33</f>
        <v>4973590.426600885</v>
      </c>
      <c r="D34" s="209" t="n">
        <f>D32+D33</f>
        <v>4025247.8930451795</v>
      </c>
      <c r="E34" s="210"/>
      <c r="F34" s="209" t="n">
        <f>F32+F33</f>
        <v>948342.5335557051</v>
      </c>
      <c r="G34" s="211" t="n">
        <f t="shared" si="0"/>
        <v>0.23559854169335773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" customHeight="1" thickTop="1" x14ac:dyDescent="0.25">
      <c r="A35" s="1"/>
      <c r="B35" s="1"/>
      <c r="C35" s="1"/>
      <c r="D35" s="2"/>
      <c r="E35" s="2"/>
      <c r="F35" s="2"/>
      <c r="G35" s="2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75" hidden="1" customHeight="1" x14ac:dyDescent="0.25">
      <c r="A36" s="1"/>
      <c r="B36" s="1"/>
      <c r="C36" s="1"/>
      <c r="D36" s="2"/>
      <c r="E36" s="2"/>
      <c r="F36" s="2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75" hidden="1" customHeight="1" x14ac:dyDescent="0.25">
      <c r="A37" s="1"/>
      <c r="B37" s="1"/>
      <c r="C37" s="8"/>
      <c r="D37" s="9"/>
      <c r="E37" s="9"/>
      <c r="F37" s="9"/>
      <c r="G37" s="9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ht="13.75" hidden="1" customHeight="1" x14ac:dyDescent="0.25">
      <c r="A38" s="1"/>
      <c r="B38" s="1"/>
      <c r="C38" s="8"/>
      <c r="D38" s="9"/>
      <c r="E38" s="9"/>
      <c r="F38" s="9"/>
      <c r="G38" s="9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ht="13.75" hidden="1" customHeight="1" x14ac:dyDescent="0.25">
      <c r="A39" s="1"/>
      <c r="B39" s="8"/>
      <c r="C39" s="1"/>
      <c r="D39" s="2"/>
      <c r="E39" s="2"/>
      <c r="F39" s="2"/>
      <c r="G39" s="2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75" hidden="1" customHeight="1" x14ac:dyDescent="0.25">
      <c r="A40" s="1"/>
      <c r="B40" s="8"/>
      <c r="C40" s="1"/>
      <c r="D40" s="2"/>
      <c r="E40" s="2"/>
      <c r="F40" s="2"/>
      <c r="G40" s="2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idden="1" x14ac:dyDescent="0.25">
      <c r="A41" s="1"/>
      <c r="B41" s="8"/>
      <c r="C41" s="1"/>
      <c r="D41" s="10"/>
      <c r="E41" s="10"/>
      <c r="F41" s="10"/>
      <c r="G41" s="1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idden="1" x14ac:dyDescent="0.25">
      <c r="A42" s="1"/>
      <c r="B42" s="8"/>
      <c r="C42" s="1"/>
      <c r="D42" s="2"/>
      <c r="E42" s="2"/>
      <c r="F42" s="2"/>
      <c r="G42" s="2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idden="1" x14ac:dyDescent="0.25">
      <c r="A43" s="1"/>
      <c r="B43" s="8"/>
      <c r="C43" s="1"/>
      <c r="D43" s="10"/>
      <c r="E43" s="10"/>
      <c r="F43" s="10"/>
      <c r="G43" s="10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idden="1" x14ac:dyDescent="0.25">
      <c r="A44" s="1"/>
      <c r="B44" s="8"/>
      <c r="C44" s="1"/>
      <c r="D44" s="2"/>
      <c r="E44" s="2"/>
      <c r="F44" s="2"/>
      <c r="G44" s="2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idden="1" x14ac:dyDescent="0.25">
      <c r="A45" s="1"/>
      <c r="B45" s="8"/>
      <c r="C45" s="1"/>
      <c r="D45" s="2"/>
      <c r="E45" s="2"/>
      <c r="F45" s="2"/>
      <c r="G45" s="2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idden="1" x14ac:dyDescent="0.25">
      <c r="A46" s="1"/>
      <c r="B46" s="8"/>
      <c r="C46" s="1"/>
      <c r="D46" s="2"/>
      <c r="E46" s="2"/>
      <c r="F46" s="2"/>
      <c r="G46" s="2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idden="1" x14ac:dyDescent="0.25">
      <c r="A47" s="1"/>
      <c r="B47" s="8"/>
      <c r="C47" s="1"/>
      <c r="D47" s="10"/>
      <c r="E47" s="10"/>
      <c r="F47" s="10"/>
      <c r="G47" s="1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idden="1" x14ac:dyDescent="0.25">
      <c r="A48" s="1"/>
      <c r="B48" s="8"/>
      <c r="C48" s="1"/>
      <c r="D48" s="2"/>
      <c r="E48" s="2"/>
      <c r="F48" s="2"/>
      <c r="G48" s="2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25">
      <c r="A49" s="1"/>
      <c r="B49" s="8"/>
      <c r="C49" s="1"/>
      <c r="D49" s="2"/>
      <c r="E49" s="2"/>
      <c r="F49" s="2"/>
      <c r="G49" s="2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idden="1" x14ac:dyDescent="0.25">
      <c r="A50" s="1"/>
      <c r="B50" s="8"/>
      <c r="C50" s="1"/>
      <c r="D50" s="2"/>
      <c r="E50" s="2"/>
      <c r="F50" s="2"/>
      <c r="G50" s="2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idden="1" x14ac:dyDescent="0.25">
      <c r="A51" s="1"/>
      <c r="B51" s="8"/>
      <c r="C51" s="1"/>
      <c r="D51" s="2"/>
      <c r="E51" s="2"/>
      <c r="F51" s="2"/>
      <c r="G51" s="2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idden="1" x14ac:dyDescent="0.25">
      <c r="A52" s="1"/>
      <c r="B52" s="8"/>
      <c r="C52" s="1"/>
      <c r="D52" s="2"/>
      <c r="E52" s="2"/>
      <c r="F52" s="2"/>
      <c r="G52" s="2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idden="1" x14ac:dyDescent="0.25">
      <c r="A53" s="1"/>
      <c r="B53" s="8"/>
      <c r="C53" s="1"/>
      <c r="D53" s="2"/>
      <c r="E53" s="2"/>
      <c r="F53" s="2"/>
      <c r="G53" s="2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idden="1" x14ac:dyDescent="0.25">
      <c r="A54" s="1"/>
      <c r="B54" s="8"/>
      <c r="C54" s="1"/>
      <c r="D54" s="2"/>
      <c r="E54" s="2"/>
      <c r="F54" s="2"/>
      <c r="G54" s="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idden="1" x14ac:dyDescent="0.25">
      <c r="A55" s="1"/>
      <c r="B55" s="8"/>
      <c r="C55" s="1"/>
      <c r="D55" s="2"/>
      <c r="E55" s="2"/>
      <c r="F55" s="2"/>
      <c r="G55" s="2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idden="1" x14ac:dyDescent="0.25">
      <c r="A56" s="1"/>
      <c r="B56" s="8"/>
      <c r="C56" s="1"/>
      <c r="D56" s="2"/>
      <c r="E56" s="2"/>
      <c r="F56" s="2"/>
      <c r="G56" s="2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idden="1" x14ac:dyDescent="0.25">
      <c r="A57" s="1"/>
      <c r="B57" s="8"/>
      <c r="C57" s="1"/>
      <c r="D57" s="10"/>
      <c r="E57" s="10"/>
      <c r="F57" s="10"/>
      <c r="G57" s="1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idden="1" x14ac:dyDescent="0.25">
      <c r="A58" s="1"/>
      <c r="B58" s="8"/>
      <c r="C58" s="1"/>
      <c r="D58" s="2"/>
      <c r="E58" s="2"/>
      <c r="F58" s="2"/>
      <c r="G58" s="2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idden="1" x14ac:dyDescent="0.25">
      <c r="A59" s="1"/>
      <c r="B59" s="8"/>
      <c r="C59" s="1"/>
      <c r="D59" s="2"/>
      <c r="E59" s="2"/>
      <c r="F59" s="2"/>
      <c r="G59" s="2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idden="1" x14ac:dyDescent="0.25">
      <c r="A60" s="1"/>
      <c r="B60" s="8"/>
      <c r="C60" s="1"/>
      <c r="D60" s="2"/>
      <c r="E60" s="2"/>
      <c r="F60" s="2"/>
      <c r="G60" s="2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idden="1" x14ac:dyDescent="0.25">
      <c r="A61" s="1"/>
      <c r="B61" s="8"/>
      <c r="C61" s="1"/>
      <c r="D61" s="2"/>
      <c r="E61" s="2"/>
      <c r="F61" s="2"/>
      <c r="G61" s="2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idden="1" x14ac:dyDescent="0.25">
      <c r="A62" s="1"/>
      <c r="B62" s="8"/>
      <c r="C62" s="1"/>
      <c r="D62" s="10"/>
      <c r="E62" s="10"/>
      <c r="F62" s="10"/>
      <c r="G62" s="10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idden="1" x14ac:dyDescent="0.25">
      <c r="A63" s="1"/>
      <c r="B63" s="8"/>
      <c r="C63" s="1"/>
      <c r="D63" s="2"/>
      <c r="E63" s="2"/>
      <c r="F63" s="2"/>
      <c r="G63" s="2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idden="1" x14ac:dyDescent="0.25">
      <c r="A64" s="1"/>
      <c r="B64" s="8"/>
      <c r="C64" s="1"/>
      <c r="D64" s="10"/>
      <c r="E64" s="10"/>
      <c r="F64" s="10"/>
      <c r="G64" s="10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idden="1" x14ac:dyDescent="0.25">
      <c r="A65" s="1"/>
      <c r="B65" s="8"/>
      <c r="C65" s="1"/>
      <c r="D65" s="2"/>
      <c r="E65" s="2"/>
      <c r="F65" s="2"/>
      <c r="G65" s="2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idden="1" x14ac:dyDescent="0.25">
      <c r="A66" s="1"/>
      <c r="B66" s="8"/>
      <c r="C66" s="1"/>
      <c r="D66" s="10"/>
      <c r="E66" s="10"/>
      <c r="F66" s="10"/>
      <c r="G66" s="10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idden="1" x14ac:dyDescent="0.25"/>
    <row r="68" spans="1:26" hidden="1" x14ac:dyDescent="0.25">
      <c r="I68" s="11"/>
      <c r="J68" s="12"/>
    </row>
    <row r="69" spans="1:26" x14ac:dyDescent="0.25">
      <c r="B69" s="43" t="s">
        <v>446</v>
      </c>
      <c r="I69" s="79"/>
      <c r="J69" s="79"/>
    </row>
  </sheetData>
  <mergeCells count="4">
    <mergeCell ref="B3:C3"/>
    <mergeCell ref="B2:C2"/>
    <mergeCell ref="I69:J69"/>
    <mergeCell ref="I6:K6"/>
  </mergeCells>
  <hyperlinks>
    <hyperlink display="Open Form (2100_050)" tooltip="Open Form (2100_050)" location="" ref="H1"/>
  </hyperlinks>
  <pageMargins left="0.75" right="0.75" top="1" bottom="1" header="0.5" footer="0.5"/>
  <pageSetup orientation="portrait" r:id="rId1"/>
  <headerFooter alignWithMargins="0"/>
  <customProperties>
    <customPr name="TGK_SHEET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B1:J183"/>
  <sheetViews>
    <sheetView showGridLines="0" showRowColHeaders="0" zoomScaleNormal="100" workbookViewId="0">
      <selection activeCell="E1" sqref="E1"/>
    </sheetView>
  </sheetViews>
  <sheetFormatPr defaultRowHeight="14.3" x14ac:dyDescent="0.25"/>
  <cols>
    <col min="1" max="1" customWidth="true" width="2.140625" collapsed="true"/>
    <col min="2" max="2" customWidth="true" hidden="true" width="9.42578125" collapsed="true"/>
    <col min="3" max="3" customWidth="true" width="35.42578125" collapsed="true"/>
    <col min="4" max="5" customWidth="true" width="18.42578125" collapsed="true"/>
    <col min="6" max="6" customWidth="true" width="15.0" collapsed="true"/>
    <col min="7" max="7" customWidth="true" width="5.28515625" collapsed="true"/>
    <col min="8" max="8" customWidth="true" width="18.140625" collapsed="true"/>
    <col min="9" max="9" customWidth="true" width="42.7109375" collapsed="true"/>
    <col min="10" max="10" customWidth="true" style="48" width="14.42578125" collapsed="true"/>
  </cols>
  <sheetData>
    <row r="1" spans="2:10" ht="24.45" customHeight="1" x14ac:dyDescent="0.25">
      <c r="C1" s="58" t="s">
        <v>23</v>
      </c>
      <c r="D1" s="45"/>
      <c r="E1" s="8"/>
      <c r="F1" s="46"/>
      <c r="G1" s="1"/>
      <c r="H1" s="1"/>
      <c r="I1" s="1"/>
      <c r="J1" s="47"/>
    </row>
    <row r="2" spans="2:10" ht="13.05" customHeight="1" x14ac:dyDescent="0.25">
      <c r="F2" s="1"/>
      <c r="G2" s="1"/>
      <c r="H2" s="1"/>
      <c r="I2" s="1"/>
      <c r="J2" s="47"/>
    </row>
    <row r="3" spans="2:10" ht="6.8" hidden="1" customHeight="1" x14ac:dyDescent="0.25">
      <c r="C3" s="1"/>
      <c r="D3" s="1"/>
      <c r="E3" s="1"/>
      <c r="F3" s="1"/>
      <c r="G3" s="1"/>
      <c r="H3" s="1"/>
      <c r="I3" s="1"/>
      <c r="J3" s="47"/>
    </row>
    <row r="4" spans="2:10" ht="15" customHeight="1" thickBot="1" x14ac:dyDescent="0.3">
      <c r="C4" s="49"/>
      <c r="D4" s="159" t="s">
        <v>127</v>
      </c>
      <c r="E4" s="159" t="s">
        <v>128</v>
      </c>
      <c r="F4" s="159" t="s">
        <v>120</v>
      </c>
      <c r="H4" s="81" t="s">
        <v>129</v>
      </c>
      <c r="I4" s="81"/>
      <c r="J4" s="81"/>
    </row>
    <row r="5" spans="2:10" ht="13.75" customHeight="1" thickTop="1" x14ac:dyDescent="0.25">
      <c r="B5" s="197" t="s">
        <v>348</v>
      </c>
      <c r="C5" s="197" t="s">
        <v>440</v>
      </c>
      <c r="D5" s="195" t="n">
        <v>113344.0</v>
      </c>
      <c r="E5" s="195" t="n">
        <v>70840.0</v>
      </c>
      <c r="F5" s="195" t="n">
        <f>D5-E5</f>
        <v>42504.0</v>
      </c>
      <c r="H5" s="50" t="s">
        <v>135</v>
      </c>
      <c r="I5" s="51" t="s">
        <v>132</v>
      </c>
      <c r="J5" s="52" t="s">
        <v>133</v>
      </c>
    </row>
    <row r="6">
      <c r="B6" s="197" t="s">
        <v>333</v>
      </c>
      <c r="C6" s="197" t="s">
        <v>436</v>
      </c>
      <c r="D6" s="195"/>
      <c r="E6" s="195"/>
      <c r="F6" s="195" t="n">
        <f>D6-E6</f>
        <v>0.0</v>
      </c>
    </row>
    <row r="7">
      <c r="B7" s="197" t="s">
        <v>438</v>
      </c>
      <c r="C7" s="197" t="s">
        <v>408</v>
      </c>
      <c r="D7" s="195" t="n">
        <v>-29564.0</v>
      </c>
      <c r="E7" s="195" t="n">
        <v>-13915.0</v>
      </c>
      <c r="F7" s="195" t="n">
        <f>D7-E7</f>
        <v>-15649.0</v>
      </c>
    </row>
    <row r="8">
      <c r="B8" s="198" t="s">
        <v>392</v>
      </c>
      <c r="C8" s="198" t="s">
        <v>403</v>
      </c>
      <c r="D8" s="196" t="n">
        <f>SUBTOTAL(9, D5:D7)</f>
        <v>83780.0</v>
      </c>
      <c r="E8" s="196" t="n">
        <f>SUBTOTAL(9, E5:E7)</f>
        <v>56925.0</v>
      </c>
      <c r="F8" s="196" t="n">
        <f>SUBTOTAL(9, F5:F7)</f>
        <v>26855.0</v>
      </c>
    </row>
    <row r="9">
      <c r="B9" s="197" t="s">
        <v>424</v>
      </c>
      <c r="C9" s="197" t="s">
        <v>324</v>
      </c>
      <c r="D9" s="195" t="n">
        <v>147475.642</v>
      </c>
      <c r="E9" s="195" t="n">
        <v>29672.27641</v>
      </c>
      <c r="F9" s="195" t="n">
        <f>D9-E9</f>
        <v>117803.36559</v>
      </c>
    </row>
    <row r="10">
      <c r="B10" s="197" t="s">
        <v>435</v>
      </c>
      <c r="C10" s="197" t="s">
        <v>343</v>
      </c>
      <c r="D10" s="195" t="n">
        <v>-117438.552</v>
      </c>
      <c r="E10" s="195" t="n">
        <v>-73399.09498</v>
      </c>
      <c r="F10" s="195" t="n">
        <f>D10-E10</f>
        <v>-44039.45702</v>
      </c>
    </row>
    <row r="11">
      <c r="B11" s="198" t="s">
        <v>437</v>
      </c>
      <c r="C11" s="198" t="s">
        <v>429</v>
      </c>
      <c r="D11" s="196" t="n">
        <f>SUBTOTAL(9, D9:D10)</f>
        <v>30037.089999999997</v>
      </c>
      <c r="E11" s="196" t="n">
        <f>SUBTOTAL(9, E9:E10)</f>
        <v>-43726.818569999996</v>
      </c>
      <c r="F11" s="196" t="n">
        <f>SUBTOTAL(9, F9:F10)</f>
        <v>73763.90857</v>
      </c>
    </row>
    <row r="12">
      <c r="B12" s="197" t="s">
        <v>381</v>
      </c>
      <c r="C12" s="197" t="s">
        <v>304</v>
      </c>
      <c r="D12" s="195"/>
      <c r="E12" s="195"/>
      <c r="F12" s="195" t="n">
        <f>D12-E12</f>
        <v>0.0</v>
      </c>
    </row>
    <row r="13">
      <c r="B13" s="197" t="s">
        <v>290</v>
      </c>
      <c r="C13" s="197" t="s">
        <v>374</v>
      </c>
      <c r="D13" s="195" t="n">
        <v>100000.0</v>
      </c>
      <c r="E13" s="195"/>
      <c r="F13" s="195" t="n">
        <f>D13-E13</f>
        <v>100000.0</v>
      </c>
    </row>
    <row r="14">
      <c r="B14" s="197" t="s">
        <v>293</v>
      </c>
      <c r="C14" s="197" t="s">
        <v>385</v>
      </c>
      <c r="D14" s="195"/>
      <c r="E14" s="195"/>
      <c r="F14" s="195" t="n">
        <f>D14-E14</f>
        <v>0.0</v>
      </c>
    </row>
    <row r="15">
      <c r="B15" s="197" t="s">
        <v>396</v>
      </c>
      <c r="C15" s="197" t="s">
        <v>319</v>
      </c>
      <c r="D15" s="195"/>
      <c r="E15" s="195"/>
      <c r="F15" s="195" t="n">
        <f>D15-E15</f>
        <v>0.0</v>
      </c>
    </row>
    <row r="16">
      <c r="B16" s="198" t="s">
        <v>310</v>
      </c>
      <c r="C16" s="198" t="s">
        <v>384</v>
      </c>
      <c r="D16" s="196" t="n">
        <f>SUBTOTAL(9, D12:D15)</f>
        <v>100000.0</v>
      </c>
      <c r="E16" s="196" t="n">
        <f>SUBTOTAL(9, E12:E15)</f>
        <v>0.0</v>
      </c>
      <c r="F16" s="196" t="n">
        <f>SUBTOTAL(9, F12:F15)</f>
        <v>100000.0</v>
      </c>
    </row>
    <row r="17">
      <c r="B17" s="198" t="s">
        <v>296</v>
      </c>
      <c r="C17" s="198" t="s">
        <v>428</v>
      </c>
      <c r="D17" s="196" t="n">
        <f>D8+D11+D16</f>
        <v>213817.09</v>
      </c>
      <c r="E17" s="196" t="n">
        <f>E8+E11+E16</f>
        <v>13198.181430000004</v>
      </c>
      <c r="F17" s="196" t="n">
        <f>F8+F11+F16</f>
        <v>200618.90857</v>
      </c>
    </row>
    <row r="18">
      <c r="B18" s="197" t="s">
        <v>298</v>
      </c>
      <c r="C18" s="197" t="s">
        <v>285</v>
      </c>
      <c r="D18" s="195" t="n">
        <v>160000.0</v>
      </c>
      <c r="E18" s="195" t="n">
        <v>100000.0</v>
      </c>
      <c r="F18" s="195" t="n">
        <f>D18-E18</f>
        <v>60000.0</v>
      </c>
    </row>
    <row r="19">
      <c r="B19" s="198" t="s">
        <v>376</v>
      </c>
      <c r="C19" s="198" t="s">
        <v>285</v>
      </c>
      <c r="D19" s="196" t="n">
        <f>SUBTOTAL(9, D18)</f>
        <v>160000.0</v>
      </c>
      <c r="E19" s="196" t="n">
        <f>SUBTOTAL(9, E18)</f>
        <v>100000.0</v>
      </c>
      <c r="F19" s="196" t="n">
        <f>SUBTOTAL(9, F18)</f>
        <v>60000.0</v>
      </c>
    </row>
    <row r="20">
      <c r="B20" s="197" t="s">
        <v>417</v>
      </c>
      <c r="C20" s="197" t="s">
        <v>330</v>
      </c>
      <c r="D20" s="195" t="n">
        <v>1334552.574</v>
      </c>
      <c r="E20" s="195" t="n">
        <v>831883.98354</v>
      </c>
      <c r="F20" s="195" t="n">
        <f>D20-E20</f>
        <v>502668.59046</v>
      </c>
    </row>
    <row r="21">
      <c r="B21" s="197" t="s">
        <v>335</v>
      </c>
      <c r="C21" s="197" t="s">
        <v>317</v>
      </c>
      <c r="D21" s="195"/>
      <c r="E21" s="195"/>
      <c r="F21" s="195" t="n">
        <f>D21-E21</f>
        <v>0.0</v>
      </c>
    </row>
    <row r="22">
      <c r="B22" s="197" t="s">
        <v>280</v>
      </c>
      <c r="C22" s="197" t="s">
        <v>359</v>
      </c>
      <c r="D22" s="195"/>
      <c r="E22" s="195"/>
      <c r="F22" s="195" t="n">
        <f>D22-E22</f>
        <v>0.0</v>
      </c>
    </row>
    <row r="23">
      <c r="B23" s="197" t="s">
        <v>288</v>
      </c>
      <c r="C23" s="197" t="s">
        <v>379</v>
      </c>
      <c r="D23" s="195" t="n">
        <v>7500.0</v>
      </c>
      <c r="E23" s="195"/>
      <c r="F23" s="195" t="n">
        <f>D23-E23</f>
        <v>7500.0</v>
      </c>
    </row>
    <row r="24">
      <c r="B24" s="197" t="s">
        <v>365</v>
      </c>
      <c r="C24" s="197" t="s">
        <v>316</v>
      </c>
      <c r="D24" s="195" t="n">
        <v>-200.0</v>
      </c>
      <c r="E24" s="195"/>
      <c r="F24" s="195" t="n">
        <f>D24-E24</f>
        <v>-200.0</v>
      </c>
    </row>
    <row r="25">
      <c r="B25" s="197" t="s">
        <v>421</v>
      </c>
      <c r="C25" s="197" t="s">
        <v>327</v>
      </c>
      <c r="D25" s="195"/>
      <c r="E25" s="195"/>
      <c r="F25" s="195" t="n">
        <f>D25-E25</f>
        <v>0.0</v>
      </c>
    </row>
    <row r="26">
      <c r="B26" s="198" t="s">
        <v>341</v>
      </c>
      <c r="C26" s="198" t="s">
        <v>375</v>
      </c>
      <c r="D26" s="196" t="n">
        <f>SUBTOTAL(9, D20:D25)</f>
        <v>1341852.574</v>
      </c>
      <c r="E26" s="196" t="n">
        <f>SUBTOTAL(9, E20:E25)</f>
        <v>831883.98354</v>
      </c>
      <c r="F26" s="196" t="n">
        <f>SUBTOTAL(9, F20:F25)</f>
        <v>509968.59046</v>
      </c>
    </row>
    <row r="27">
      <c r="B27" s="197" t="s">
        <v>328</v>
      </c>
      <c r="C27" s="197" t="s">
        <v>410</v>
      </c>
      <c r="D27" s="195" t="n">
        <v>-3075485.0</v>
      </c>
      <c r="E27" s="195" t="n">
        <v>-609288.255</v>
      </c>
      <c r="F27" s="195" t="n">
        <f>D27-E27</f>
        <v>-2466196.745</v>
      </c>
    </row>
    <row r="28">
      <c r="B28" s="198" t="s">
        <v>286</v>
      </c>
      <c r="C28" s="198" t="s">
        <v>281</v>
      </c>
      <c r="D28" s="196" t="n">
        <f>SUBTOTAL(9, D27)</f>
        <v>-3075485.0</v>
      </c>
      <c r="E28" s="196" t="n">
        <f>SUBTOTAL(9, E27)</f>
        <v>-609288.255</v>
      </c>
      <c r="F28" s="196" t="n">
        <f>SUBTOTAL(9, F27)</f>
        <v>-2466196.745</v>
      </c>
    </row>
    <row r="29">
      <c r="B29" s="197" t="s">
        <v>314</v>
      </c>
      <c r="C29" s="197" t="s">
        <v>302</v>
      </c>
      <c r="D29" s="195" t="n">
        <v>-100000.0</v>
      </c>
      <c r="E29" s="195"/>
      <c r="F29" s="195" t="n">
        <f>D29-E29</f>
        <v>-100000.0</v>
      </c>
    </row>
    <row r="30">
      <c r="B30" s="197" t="s">
        <v>369</v>
      </c>
      <c r="C30" s="197" t="s">
        <v>287</v>
      </c>
      <c r="D30" s="195" t="n">
        <v>-1510666.95</v>
      </c>
      <c r="E30" s="195"/>
      <c r="F30" s="195" t="n">
        <f>D30-E30</f>
        <v>-1510666.95</v>
      </c>
    </row>
    <row r="31">
      <c r="B31" s="197" t="s">
        <v>346</v>
      </c>
      <c r="C31" s="197" t="s">
        <v>432</v>
      </c>
      <c r="D31" s="195"/>
      <c r="E31" s="195"/>
      <c r="F31" s="195" t="n">
        <f>D31-E31</f>
        <v>0.0</v>
      </c>
    </row>
    <row r="32">
      <c r="B32" s="198" t="s">
        <v>295</v>
      </c>
      <c r="C32" s="198" t="s">
        <v>305</v>
      </c>
      <c r="D32" s="196" t="n">
        <f>SUBTOTAL(9, D29:D31)</f>
        <v>-1610666.95</v>
      </c>
      <c r="E32" s="196" t="n">
        <f>SUBTOTAL(9, E29:E31)</f>
        <v>0.0</v>
      </c>
      <c r="F32" s="196" t="n">
        <f>SUBTOTAL(9, F29:F31)</f>
        <v>-1610666.95</v>
      </c>
    </row>
    <row r="33">
      <c r="B33" s="197" t="s">
        <v>347</v>
      </c>
      <c r="C33" s="197" t="s">
        <v>414</v>
      </c>
      <c r="D33" s="195"/>
      <c r="E33" s="195"/>
      <c r="F33" s="195" t="n">
        <f>D33-E33</f>
        <v>0.0</v>
      </c>
    </row>
    <row r="34">
      <c r="B34" s="198" t="s">
        <v>402</v>
      </c>
      <c r="C34" s="198" t="s">
        <v>349</v>
      </c>
      <c r="D34" s="196" t="n">
        <f>SUBTOTAL(9, D33)</f>
        <v>0.0</v>
      </c>
      <c r="E34" s="196" t="n">
        <f>SUBTOTAL(9, E33)</f>
        <v>0.0</v>
      </c>
      <c r="F34" s="196" t="n">
        <f>SUBTOTAL(9, F33)</f>
        <v>0.0</v>
      </c>
    </row>
    <row r="35">
      <c r="B35" s="197" t="s">
        <v>400</v>
      </c>
      <c r="C35" s="197" t="s">
        <v>307</v>
      </c>
      <c r="D35" s="195" t="n">
        <v>-17677.616</v>
      </c>
      <c r="E35" s="195" t="n">
        <v>-11048.51</v>
      </c>
      <c r="F35" s="195" t="n">
        <f>D35-E35</f>
        <v>-6629.106000000002</v>
      </c>
    </row>
    <row r="36">
      <c r="B36" s="197" t="s">
        <v>334</v>
      </c>
      <c r="C36" s="197" t="s">
        <v>340</v>
      </c>
      <c r="D36" s="195"/>
      <c r="E36" s="195"/>
      <c r="F36" s="195" t="n">
        <f>D36-E36</f>
        <v>0.0</v>
      </c>
    </row>
    <row r="37">
      <c r="B37" s="197" t="s">
        <v>362</v>
      </c>
      <c r="C37" s="197" t="s">
        <v>361</v>
      </c>
      <c r="D37" s="195"/>
      <c r="E37" s="195"/>
      <c r="F37" s="195" t="n">
        <f>D37-E37</f>
        <v>0.0</v>
      </c>
    </row>
    <row r="38">
      <c r="B38" s="197" t="s">
        <v>325</v>
      </c>
      <c r="C38" s="197" t="s">
        <v>356</v>
      </c>
      <c r="D38" s="195"/>
      <c r="E38" s="195"/>
      <c r="F38" s="195" t="n">
        <f>D38-E38</f>
        <v>0.0</v>
      </c>
    </row>
    <row r="39">
      <c r="B39" s="197" t="s">
        <v>364</v>
      </c>
      <c r="C39" s="197" t="s">
        <v>363</v>
      </c>
      <c r="D39" s="195"/>
      <c r="E39" s="195"/>
      <c r="F39" s="195" t="n">
        <f>D39-E39</f>
        <v>0.0</v>
      </c>
    </row>
    <row r="40">
      <c r="B40" s="198" t="s">
        <v>322</v>
      </c>
      <c r="C40" s="198" t="s">
        <v>398</v>
      </c>
      <c r="D40" s="196" t="n">
        <f>SUBTOTAL(9, D35:D39)</f>
        <v>-17677.616</v>
      </c>
      <c r="E40" s="196" t="n">
        <f>SUBTOTAL(9, E35:E39)</f>
        <v>-11048.51</v>
      </c>
      <c r="F40" s="196" t="n">
        <f>SUBTOTAL(9, F35:F39)</f>
        <v>-6629.106000000002</v>
      </c>
    </row>
    <row r="41">
      <c r="B41" s="197" t="s">
        <v>284</v>
      </c>
      <c r="C41" s="197" t="s">
        <v>93</v>
      </c>
      <c r="D41" s="195" t="n">
        <v>251670.95</v>
      </c>
      <c r="E41" s="195" t="n">
        <v>157294.34344</v>
      </c>
      <c r="F41" s="195" t="n">
        <f>D41-E41</f>
        <v>94376.60656000001</v>
      </c>
    </row>
    <row r="42">
      <c r="B42" s="197" t="s">
        <v>389</v>
      </c>
      <c r="C42" s="197" t="s">
        <v>95</v>
      </c>
      <c r="D42" s="195" t="n">
        <v>159998.001</v>
      </c>
      <c r="E42" s="195"/>
      <c r="F42" s="195" t="n">
        <f>D42-E42</f>
        <v>159998.001</v>
      </c>
    </row>
    <row r="43">
      <c r="B43" s="197" t="s">
        <v>399</v>
      </c>
      <c r="C43" s="197" t="s">
        <v>395</v>
      </c>
      <c r="D43" s="195" t="n">
        <v>-11492.272</v>
      </c>
      <c r="E43" s="195" t="n">
        <v>-7182.66998</v>
      </c>
      <c r="F43" s="195" t="n">
        <f>D43-E43</f>
        <v>-4309.602020000001</v>
      </c>
    </row>
    <row r="44">
      <c r="B44" s="198" t="s">
        <v>323</v>
      </c>
      <c r="C44" s="198" t="s">
        <v>423</v>
      </c>
      <c r="D44" s="196" t="n">
        <f>SUBTOTAL(9, D41:D43)</f>
        <v>400176.679</v>
      </c>
      <c r="E44" s="196" t="n">
        <f>SUBTOTAL(9, E41:E43)</f>
        <v>150111.67346</v>
      </c>
      <c r="F44" s="196" t="n">
        <f>SUBTOTAL(9, F41:F43)</f>
        <v>250065.00554</v>
      </c>
    </row>
    <row r="45">
      <c r="B45" s="203" t="s">
        <v>388</v>
      </c>
      <c r="C45" s="203" t="s">
        <v>331</v>
      </c>
      <c r="D45" s="202" t="n">
        <f>D19+D26+D28+D32+D34+D40+D44</f>
        <v>-2801800.313</v>
      </c>
      <c r="E45" s="202" t="n">
        <f>E19+E26+E28+E32+E34+E40+E44</f>
        <v>461658.892</v>
      </c>
      <c r="F45" s="202" t="n">
        <f>F19+F26+F28+F32+F34+F40+F44</f>
        <v>-3263459.205</v>
      </c>
    </row>
    <row r="46">
      <c r="B46" s="198" t="s">
        <v>442</v>
      </c>
      <c r="C46" s="198" t="s">
        <v>439</v>
      </c>
      <c r="D46" s="196" t="n">
        <f>D17+D45</f>
        <v>-2587983.223</v>
      </c>
      <c r="E46" s="196" t="n">
        <f>E17+E45</f>
        <v>474857.07343</v>
      </c>
      <c r="F46" s="196" t="n">
        <f>F17+F45</f>
        <v>-3062840.29643</v>
      </c>
    </row>
    <row r="47">
      <c r="B47" s="197" t="s">
        <v>390</v>
      </c>
      <c r="C47" s="197" t="s">
        <v>372</v>
      </c>
      <c r="D47" s="195" t="n">
        <v>-218280.0</v>
      </c>
      <c r="E47" s="195" t="n">
        <v>-136425.0</v>
      </c>
      <c r="F47" s="195" t="n">
        <f>D47-E47</f>
        <v>-81855.0</v>
      </c>
    </row>
    <row r="48">
      <c r="B48" s="198" t="s">
        <v>386</v>
      </c>
      <c r="C48" s="198" t="s">
        <v>303</v>
      </c>
      <c r="D48" s="196" t="n">
        <f>SUBTOTAL(9, D47)</f>
        <v>-218280.0</v>
      </c>
      <c r="E48" s="196" t="n">
        <f>SUBTOTAL(9, E47)</f>
        <v>-136425.0</v>
      </c>
      <c r="F48" s="196" t="n">
        <f>SUBTOTAL(9, F47)</f>
        <v>-81855.0</v>
      </c>
    </row>
    <row r="49">
      <c r="B49" s="197" t="s">
        <v>380</v>
      </c>
      <c r="C49" s="197" t="s">
        <v>370</v>
      </c>
      <c r="D49" s="195" t="n">
        <v>-132861.432</v>
      </c>
      <c r="E49" s="195" t="n">
        <v>-83038.39498</v>
      </c>
      <c r="F49" s="195" t="n">
        <f>D49-E49</f>
        <v>-49823.03702</v>
      </c>
    </row>
    <row r="50">
      <c r="B50" s="198" t="s">
        <v>337</v>
      </c>
      <c r="C50" s="198" t="s">
        <v>38</v>
      </c>
      <c r="D50" s="196" t="n">
        <f>SUBTOTAL(9, D49)</f>
        <v>-132861.432</v>
      </c>
      <c r="E50" s="196" t="n">
        <f>SUBTOTAL(9, E49)</f>
        <v>-83038.39498</v>
      </c>
      <c r="F50" s="196" t="n">
        <f>SUBTOTAL(9, F49)</f>
        <v>-49823.03702</v>
      </c>
    </row>
    <row r="51">
      <c r="B51" s="203" t="s">
        <v>419</v>
      </c>
      <c r="C51" s="203" t="s">
        <v>332</v>
      </c>
      <c r="D51" s="202" t="n">
        <f>D46+D48+D50</f>
        <v>-2939124.6550000003</v>
      </c>
      <c r="E51" s="202" t="n">
        <f>E46+E48+E50</f>
        <v>255393.67845</v>
      </c>
      <c r="F51" s="202" t="n">
        <f>F46+F48+F50</f>
        <v>-3194518.3334500003</v>
      </c>
    </row>
    <row r="52">
      <c r="B52" s="197" t="s">
        <v>406</v>
      </c>
      <c r="C52" s="197" t="s">
        <v>409</v>
      </c>
      <c r="D52" s="195" t="n">
        <v>-67680.0</v>
      </c>
      <c r="E52" s="195" t="n">
        <v>-67680.0</v>
      </c>
      <c r="F52" s="195" t="n">
        <f>D52-E52</f>
        <v>0.0</v>
      </c>
    </row>
    <row r="53">
      <c r="B53" s="198" t="s">
        <v>354</v>
      </c>
      <c r="C53" s="198" t="s">
        <v>352</v>
      </c>
      <c r="D53" s="196" t="n">
        <f>SUBTOTAL(9, D52)</f>
        <v>-67680.0</v>
      </c>
      <c r="E53" s="196" t="n">
        <f>SUBTOTAL(9, E52)</f>
        <v>-67680.0</v>
      </c>
      <c r="F53" s="196" t="n">
        <f>SUBTOTAL(9, F52)</f>
        <v>0.0</v>
      </c>
    </row>
    <row r="54">
      <c r="B54" s="197" t="s">
        <v>422</v>
      </c>
      <c r="C54" s="197" t="s">
        <v>339</v>
      </c>
      <c r="D54" s="195" t="n">
        <v>-301055.0</v>
      </c>
      <c r="E54" s="195" t="n">
        <v>-301054.52548</v>
      </c>
      <c r="F54" s="195" t="n">
        <f>D54-E54</f>
        <v>-0.47451999998884276</v>
      </c>
    </row>
    <row r="55">
      <c r="B55" s="198" t="s">
        <v>425</v>
      </c>
      <c r="C55" s="198" t="s">
        <v>329</v>
      </c>
      <c r="D55" s="196" t="n">
        <f>SUBTOTAL(9, D54)</f>
        <v>-301055.0</v>
      </c>
      <c r="E55" s="196" t="n">
        <f>SUBTOTAL(9, E54)</f>
        <v>-301054.52548</v>
      </c>
      <c r="F55" s="196" t="n">
        <f>SUBTOTAL(9, F54)</f>
        <v>-0.47451999998884276</v>
      </c>
    </row>
    <row r="56">
      <c r="B56" s="197" t="s">
        <v>338</v>
      </c>
      <c r="C56" s="197" t="s">
        <v>336</v>
      </c>
      <c r="D56" s="195"/>
      <c r="E56" s="195"/>
      <c r="F56" s="195" t="n">
        <f>D56-E56</f>
        <v>0.0</v>
      </c>
    </row>
    <row r="57">
      <c r="B57" s="198" t="s">
        <v>366</v>
      </c>
      <c r="C57" s="198" t="s">
        <v>368</v>
      </c>
      <c r="D57" s="196" t="n">
        <f>SUBTOTAL(9, D56)</f>
        <v>0.0</v>
      </c>
      <c r="E57" s="196" t="n">
        <f>SUBTOTAL(9, E56)</f>
        <v>0.0</v>
      </c>
      <c r="F57" s="196" t="n">
        <f>SUBTOTAL(9, F56)</f>
        <v>0.0</v>
      </c>
    </row>
    <row r="58">
      <c r="B58" s="197" t="s">
        <v>418</v>
      </c>
      <c r="C58" s="197" t="s">
        <v>321</v>
      </c>
      <c r="D58" s="195" t="n">
        <v>-1310679.0</v>
      </c>
      <c r="E58" s="195" t="n">
        <v>-597639.9</v>
      </c>
      <c r="F58" s="195" t="n">
        <f>D58-E58</f>
        <v>-713039.1</v>
      </c>
    </row>
    <row r="59">
      <c r="B59" s="198" t="s">
        <v>342</v>
      </c>
      <c r="C59" s="198" t="s">
        <v>321</v>
      </c>
      <c r="D59" s="196" t="n">
        <f>SUBTOTAL(9, D58)</f>
        <v>-1310679.0</v>
      </c>
      <c r="E59" s="196" t="n">
        <f>SUBTOTAL(9, E58)</f>
        <v>-597639.9</v>
      </c>
      <c r="F59" s="196" t="n">
        <f>SUBTOTAL(9, F58)</f>
        <v>-713039.1</v>
      </c>
    </row>
    <row r="60">
      <c r="B60" s="197" t="s">
        <v>350</v>
      </c>
      <c r="C60" s="197" t="s">
        <v>434</v>
      </c>
      <c r="D60" s="195" t="n">
        <v>-137334.049</v>
      </c>
      <c r="E60" s="195" t="n">
        <v>-713039.06824</v>
      </c>
      <c r="F60" s="195" t="n">
        <f>D60-E60</f>
        <v>575705.01924</v>
      </c>
    </row>
    <row r="61">
      <c r="B61" s="198" t="s">
        <v>312</v>
      </c>
      <c r="C61" s="198" t="s">
        <v>360</v>
      </c>
      <c r="D61" s="196" t="n">
        <f>SUBTOTAL(9, D60)</f>
        <v>-137334.049</v>
      </c>
      <c r="E61" s="196" t="n">
        <f>SUBTOTAL(9, E60)</f>
        <v>-713039.06824</v>
      </c>
      <c r="F61" s="196" t="n">
        <f>SUBTOTAL(9, F60)</f>
        <v>575705.01924</v>
      </c>
    </row>
    <row r="62">
      <c r="B62" s="197" t="s">
        <v>431</v>
      </c>
      <c r="C62" s="197" t="s">
        <v>427</v>
      </c>
      <c r="D62" s="195"/>
      <c r="E62" s="195"/>
      <c r="F62" s="195" t="n">
        <f>D62-E62</f>
        <v>0.0</v>
      </c>
    </row>
    <row r="63">
      <c r="B63" s="198" t="s">
        <v>377</v>
      </c>
      <c r="C63" s="198" t="s">
        <v>427</v>
      </c>
      <c r="D63" s="196" t="n">
        <f>SUBTOTAL(9, D62)</f>
        <v>0.0</v>
      </c>
      <c r="E63" s="196" t="n">
        <f>SUBTOTAL(9, E62)</f>
        <v>0.0</v>
      </c>
      <c r="F63" s="196" t="n">
        <f>SUBTOTAL(9, F62)</f>
        <v>0.0</v>
      </c>
    </row>
    <row r="64">
      <c r="B64" s="197" t="s">
        <v>412</v>
      </c>
      <c r="C64" s="197" t="s">
        <v>401</v>
      </c>
      <c r="D64" s="195"/>
      <c r="E64" s="195"/>
      <c r="F64" s="195" t="n">
        <f>D64-E64</f>
        <v>0.0</v>
      </c>
    </row>
    <row r="65">
      <c r="B65" s="198" t="s">
        <v>308</v>
      </c>
      <c r="C65" s="198" t="s">
        <v>18</v>
      </c>
      <c r="D65" s="196" t="n">
        <f>SUBTOTAL(9, D64)</f>
        <v>0.0</v>
      </c>
      <c r="E65" s="196" t="n">
        <f>SUBTOTAL(9, E64)</f>
        <v>0.0</v>
      </c>
      <c r="F65" s="196" t="n">
        <f>SUBTOTAL(9, F64)</f>
        <v>0.0</v>
      </c>
    </row>
    <row r="66">
      <c r="B66" s="203" t="s">
        <v>289</v>
      </c>
      <c r="C66" s="203" t="s">
        <v>300</v>
      </c>
      <c r="D66" s="202" t="n">
        <f>D53+D55+D57+D59+D61+D63+D65</f>
        <v>-1816748.049</v>
      </c>
      <c r="E66" s="202" t="n">
        <f>E53+E55+E57+E59+E61+E63+E65</f>
        <v>-1679413.4937200001</v>
      </c>
      <c r="F66" s="202" t="n">
        <f>F53+F55+F57+F59+F61+F63+F65</f>
        <v>-137334.55527999997</v>
      </c>
    </row>
    <row r="67">
      <c r="B67" s="197" t="s">
        <v>420</v>
      </c>
      <c r="C67" s="197" t="s">
        <v>404</v>
      </c>
      <c r="D67" s="195"/>
      <c r="E67" s="195"/>
      <c r="F67" s="195" t="n">
        <f>D67-E67</f>
        <v>0.0</v>
      </c>
    </row>
    <row r="68">
      <c r="B68" s="198" t="s">
        <v>283</v>
      </c>
      <c r="C68" s="198" t="s">
        <v>443</v>
      </c>
      <c r="D68" s="196" t="n">
        <f>SUBTOTAL(9, D67)</f>
        <v>0.0</v>
      </c>
      <c r="E68" s="196" t="n">
        <f>SUBTOTAL(9, E67)</f>
        <v>0.0</v>
      </c>
      <c r="F68" s="196" t="n">
        <f>SUBTOTAL(9, F67)</f>
        <v>0.0</v>
      </c>
    </row>
    <row r="69">
      <c r="B69" s="197" t="s">
        <v>383</v>
      </c>
      <c r="C69" s="197" t="s">
        <v>309</v>
      </c>
      <c r="D69" s="195"/>
      <c r="E69" s="195"/>
      <c r="F69" s="195" t="n">
        <f>D69-E69</f>
        <v>0.0</v>
      </c>
    </row>
    <row r="70">
      <c r="B70" s="197" t="s">
        <v>433</v>
      </c>
      <c r="C70" s="197" t="s">
        <v>416</v>
      </c>
      <c r="D70" s="195"/>
      <c r="E70" s="195"/>
      <c r="F70" s="195" t="n">
        <f>D70-E70</f>
        <v>0.0</v>
      </c>
    </row>
    <row r="71">
      <c r="B71" s="198" t="s">
        <v>373</v>
      </c>
      <c r="C71" s="198" t="s">
        <v>345</v>
      </c>
      <c r="D71" s="196" t="n">
        <f>SUBTOTAL(9, D69:D70)</f>
        <v>0.0</v>
      </c>
      <c r="E71" s="196" t="n">
        <f>SUBTOTAL(9, E69:E70)</f>
        <v>0.0</v>
      </c>
      <c r="F71" s="196" t="n">
        <f>SUBTOTAL(9, F69:F70)</f>
        <v>0.0</v>
      </c>
    </row>
    <row r="72">
      <c r="B72" s="198" t="s">
        <v>426</v>
      </c>
      <c r="C72" s="198" t="s">
        <v>415</v>
      </c>
      <c r="D72" s="196" t="n">
        <f>D68+D71</f>
        <v>0.0</v>
      </c>
      <c r="E72" s="196" t="n">
        <f>E68+E71</f>
        <v>0.0</v>
      </c>
      <c r="F72" s="196" t="n">
        <f>F68+F71</f>
        <v>0.0</v>
      </c>
    </row>
    <row r="73">
      <c r="B73" s="197" t="s">
        <v>387</v>
      </c>
      <c r="C73" s="197" t="s">
        <v>382</v>
      </c>
      <c r="D73" s="195" t="n">
        <v>1089438.0</v>
      </c>
      <c r="E73" s="195"/>
      <c r="F73" s="195" t="n">
        <f>D73-E73</f>
        <v>1089438.0</v>
      </c>
    </row>
    <row r="74">
      <c r="B74" s="197" t="s">
        <v>391</v>
      </c>
      <c r="C74" s="197" t="s">
        <v>394</v>
      </c>
      <c r="D74" s="195"/>
      <c r="E74" s="195"/>
      <c r="F74" s="195" t="n">
        <f>D74-E74</f>
        <v>0.0</v>
      </c>
    </row>
    <row r="75">
      <c r="B75" s="198" t="s">
        <v>444</v>
      </c>
      <c r="C75" s="198" t="s">
        <v>413</v>
      </c>
      <c r="D75" s="196" t="n">
        <f>SUBTOTAL(9, D73:D74)</f>
        <v>1089438.0</v>
      </c>
      <c r="E75" s="196" t="n">
        <f>SUBTOTAL(9, E73:E74)</f>
        <v>0.0</v>
      </c>
      <c r="F75" s="196" t="n">
        <f>SUBTOTAL(9, F73:F74)</f>
        <v>1089438.0</v>
      </c>
    </row>
    <row r="76">
      <c r="B76" s="197" t="s">
        <v>299</v>
      </c>
      <c r="C76" s="197" t="s">
        <v>294</v>
      </c>
      <c r="D76" s="195" t="n">
        <v>956223.84</v>
      </c>
      <c r="E76" s="195" t="n">
        <v>597639.9</v>
      </c>
      <c r="F76" s="195" t="n">
        <f>D76-E76</f>
        <v>358583.93999999994</v>
      </c>
    </row>
    <row r="77">
      <c r="B77" s="197" t="s">
        <v>357</v>
      </c>
      <c r="C77" s="197" t="s">
        <v>367</v>
      </c>
      <c r="D77" s="195"/>
      <c r="E77" s="195"/>
      <c r="F77" s="195" t="n">
        <f>D77-E77</f>
        <v>0.0</v>
      </c>
    </row>
    <row r="78">
      <c r="B78" s="198" t="s">
        <v>318</v>
      </c>
      <c r="C78" s="198" t="s">
        <v>405</v>
      </c>
      <c r="D78" s="196" t="n">
        <f>SUBTOTAL(9, D76:D77)</f>
        <v>956223.84</v>
      </c>
      <c r="E78" s="196" t="n">
        <f>SUBTOTAL(9, E76:E77)</f>
        <v>597639.9</v>
      </c>
      <c r="F78" s="196" t="n">
        <f>SUBTOTAL(9, F76:F77)</f>
        <v>358583.93999999994</v>
      </c>
    </row>
    <row r="79">
      <c r="B79" s="197" t="s">
        <v>358</v>
      </c>
      <c r="C79" s="197" t="s">
        <v>313</v>
      </c>
      <c r="D79" s="195" t="n">
        <v>92000.92</v>
      </c>
      <c r="E79" s="195" t="n">
        <v>57500.575</v>
      </c>
      <c r="F79" s="195" t="n">
        <f>D79-E79</f>
        <v>34500.345</v>
      </c>
    </row>
    <row r="80">
      <c r="B80" s="197" t="s">
        <v>351</v>
      </c>
      <c r="C80" s="197" t="s">
        <v>355</v>
      </c>
      <c r="D80" s="195"/>
      <c r="E80" s="195"/>
      <c r="F80" s="195" t="n">
        <f>D80-E80</f>
        <v>0.0</v>
      </c>
    </row>
    <row r="81">
      <c r="B81" s="197" t="s">
        <v>371</v>
      </c>
      <c r="C81" s="197" t="s">
        <v>378</v>
      </c>
      <c r="D81" s="195" t="n">
        <v>150185.6</v>
      </c>
      <c r="E81" s="195" t="n">
        <v>93866.0</v>
      </c>
      <c r="F81" s="195" t="n">
        <f>D81-E81</f>
        <v>56319.600000000006</v>
      </c>
    </row>
    <row r="82">
      <c r="B82" s="197" t="s">
        <v>411</v>
      </c>
      <c r="C82" s="197" t="s">
        <v>301</v>
      </c>
      <c r="D82" s="195"/>
      <c r="E82" s="195"/>
      <c r="F82" s="195" t="n">
        <f>D82-E82</f>
        <v>0.0</v>
      </c>
    </row>
    <row r="83">
      <c r="B83" s="198" t="s">
        <v>344</v>
      </c>
      <c r="C83" s="198" t="s">
        <v>353</v>
      </c>
      <c r="D83" s="196" t="n">
        <f>SUBTOTAL(9, D79:D82)</f>
        <v>242186.52000000002</v>
      </c>
      <c r="E83" s="196" t="n">
        <f>SUBTOTAL(9, E79:E82)</f>
        <v>151366.575</v>
      </c>
      <c r="F83" s="196" t="n">
        <f>SUBTOTAL(9, F79:F82)</f>
        <v>90819.945</v>
      </c>
    </row>
    <row r="84">
      <c r="B84" s="197" t="s">
        <v>445</v>
      </c>
      <c r="C84" s="197" t="s">
        <v>441</v>
      </c>
      <c r="D84" s="195" t="n">
        <v>2468024.344</v>
      </c>
      <c r="E84" s="195" t="n">
        <v>675013.33999</v>
      </c>
      <c r="F84" s="195" t="n">
        <f>D84-E84</f>
        <v>1793011.00401</v>
      </c>
    </row>
    <row r="85">
      <c r="B85" s="197" t="s">
        <v>311</v>
      </c>
      <c r="C85" s="197" t="s">
        <v>306</v>
      </c>
      <c r="D85" s="195"/>
      <c r="E85" s="195"/>
      <c r="F85" s="195" t="n">
        <f>D85-E85</f>
        <v>0.0</v>
      </c>
    </row>
    <row r="86">
      <c r="B86" s="197" t="s">
        <v>407</v>
      </c>
      <c r="C86" s="197" t="s">
        <v>320</v>
      </c>
      <c r="D86" s="195"/>
      <c r="E86" s="195"/>
      <c r="F86" s="195" t="n">
        <f>D86-E86</f>
        <v>0.0</v>
      </c>
    </row>
    <row r="87">
      <c r="B87" s="198" t="s">
        <v>292</v>
      </c>
      <c r="C87" s="198" t="s">
        <v>430</v>
      </c>
      <c r="D87" s="196" t="n">
        <f>SUBTOTAL(9, D84:D86)</f>
        <v>2468024.344</v>
      </c>
      <c r="E87" s="196" t="n">
        <f>SUBTOTAL(9, E84:E86)</f>
        <v>675013.33999</v>
      </c>
      <c r="F87" s="196" t="n">
        <f>SUBTOTAL(9, F84:F86)</f>
        <v>1793011.00401</v>
      </c>
    </row>
    <row r="88">
      <c r="B88" s="203" t="s">
        <v>393</v>
      </c>
      <c r="C88" s="203" t="s">
        <v>297</v>
      </c>
      <c r="D88" s="202" t="n">
        <f>D75+D78+D83+D87</f>
        <v>4755872.704</v>
      </c>
      <c r="E88" s="202" t="n">
        <f>E75+E78+E83+E87</f>
        <v>1424019.81499</v>
      </c>
      <c r="F88" s="202" t="n">
        <f>F75+F78+F83+F87</f>
        <v>3331852.88901</v>
      </c>
    </row>
    <row r="89">
      <c r="B89" s="203" t="s">
        <v>397</v>
      </c>
      <c r="C89" s="203" t="s">
        <v>282</v>
      </c>
      <c r="D89" s="202" t="n">
        <f>D72+D88</f>
        <v>4755872.704</v>
      </c>
      <c r="E89" s="202" t="n">
        <f>E72+E88</f>
        <v>1424019.81499</v>
      </c>
      <c r="F89" s="202" t="n">
        <f>F72+F88</f>
        <v>3331852.88901</v>
      </c>
    </row>
    <row r="90">
      <c r="B90" s="203" t="s">
        <v>291</v>
      </c>
      <c r="C90" s="203" t="s">
        <v>39</v>
      </c>
      <c r="D90" s="202" t="n">
        <f>D66+D89</f>
        <v>2939124.655</v>
      </c>
      <c r="E90" s="202" t="n">
        <f>E66+E89</f>
        <v>-255393.67873000004</v>
      </c>
      <c r="F90" s="202" t="n">
        <f>F66+F89</f>
        <v>3194518.33373</v>
      </c>
    </row>
    <row r="91">
      <c r="B91" s="203" t="s">
        <v>326</v>
      </c>
      <c r="C91" s="203" t="s">
        <v>315</v>
      </c>
      <c r="D91" s="202" t="n">
        <f>D51+D90</f>
        <v>-4.6566128730773926E-10</v>
      </c>
      <c r="E91" s="202" t="n">
        <f>E51+E90</f>
        <v>-2.8000003658235073E-4</v>
      </c>
      <c r="F91" s="202" t="n">
        <f>F51+F90</f>
        <v>2.799998037517071E-4</v>
      </c>
    </row>
    <row r="92" spans="2:10" ht="13.75" customHeight="1" x14ac:dyDescent="0.25">
      <c r="H92" s="53"/>
      <c r="I92" s="53"/>
    </row>
    <row r="93" spans="2:10" ht="13.75" customHeight="1" x14ac:dyDescent="0.25">
      <c r="H93" s="53"/>
      <c r="I93" s="53"/>
    </row>
    <row r="94" spans="2:10" ht="13.75" customHeight="1" x14ac:dyDescent="0.25">
      <c r="C94" s="43" t="s">
        <v>446</v>
      </c>
      <c r="H94" s="53"/>
      <c r="I94" s="53"/>
    </row>
    <row r="95" spans="2:10" ht="13.75" customHeight="1" x14ac:dyDescent="0.25">
      <c r="H95" s="53"/>
      <c r="I95" s="53"/>
    </row>
    <row r="96" spans="2:10" ht="13.75" customHeight="1" x14ac:dyDescent="0.25">
      <c r="H96" s="53"/>
      <c r="I96" s="53"/>
    </row>
    <row r="97" spans="2:10" ht="13.75" customHeight="1" x14ac:dyDescent="0.25">
      <c r="H97" s="53"/>
      <c r="I97" s="53"/>
    </row>
    <row r="98" spans="2:10" ht="13.75" customHeight="1" x14ac:dyDescent="0.25">
      <c r="H98" s="53"/>
      <c r="I98" s="53"/>
    </row>
    <row r="99" spans="2:10" ht="13.75" customHeight="1" x14ac:dyDescent="0.25">
      <c r="H99" s="53"/>
      <c r="I99" s="53"/>
    </row>
    <row r="100" spans="2:10" ht="13.75" customHeight="1" x14ac:dyDescent="0.25">
      <c r="H100" s="53"/>
      <c r="I100" s="53"/>
    </row>
    <row r="101" spans="2:10" ht="13.75" customHeight="1" x14ac:dyDescent="0.25">
      <c r="H101" s="53"/>
      <c r="I101" s="53"/>
    </row>
    <row r="102" spans="2:10" ht="13.75" customHeight="1" x14ac:dyDescent="0.25">
      <c r="H102" s="53"/>
      <c r="I102" s="53"/>
    </row>
    <row r="103" spans="8:10" ht="13.75" customHeight="1" x14ac:dyDescent="0.25">
      <c r="H103" s="53"/>
      <c r="I103" s="53"/>
    </row>
    <row r="104" spans="8:10" ht="13.75" customHeight="1" x14ac:dyDescent="0.25">
      <c r="H104" s="53"/>
      <c r="I104" s="53"/>
    </row>
    <row r="105" spans="8:10" ht="13.75" customHeight="1" x14ac:dyDescent="0.25">
      <c r="H105" s="53"/>
      <c r="I105" s="53"/>
    </row>
    <row r="106" spans="8:10" ht="13.75" customHeight="1" x14ac:dyDescent="0.25">
      <c r="H106" s="53"/>
      <c r="I106" s="53"/>
    </row>
    <row r="107" spans="8:10" ht="13.75" customHeight="1" x14ac:dyDescent="0.25">
      <c r="H107" s="53"/>
      <c r="I107" s="53"/>
    </row>
    <row r="108" spans="8:10" ht="13.75" customHeight="1" x14ac:dyDescent="0.25">
      <c r="H108" s="53"/>
      <c r="I108" s="53"/>
    </row>
    <row r="109" spans="8:10" ht="13.75" customHeight="1" x14ac:dyDescent="0.25">
      <c r="H109" s="53"/>
      <c r="I109" s="53"/>
    </row>
    <row r="110" spans="8:10" ht="13.75" customHeight="1" x14ac:dyDescent="0.25">
      <c r="H110" s="53"/>
      <c r="I110" s="53"/>
    </row>
    <row r="111" spans="8:10" ht="13.75" customHeight="1" x14ac:dyDescent="0.25">
      <c r="H111" s="53"/>
      <c r="I111" s="53"/>
      <c r="J111" s="54"/>
    </row>
    <row r="112" spans="8:10" ht="13.75" customHeight="1" x14ac:dyDescent="0.25">
      <c r="H112" s="53"/>
      <c r="I112" s="53"/>
      <c r="J112" s="54"/>
    </row>
    <row r="113" spans="8:10" ht="13.75" customHeight="1" x14ac:dyDescent="0.25">
      <c r="H113" s="53"/>
      <c r="I113" s="53"/>
      <c r="J113" s="54"/>
    </row>
    <row r="114" spans="8:10" ht="13.75" customHeight="1" x14ac:dyDescent="0.25">
      <c r="H114" s="53"/>
      <c r="I114" s="53"/>
      <c r="J114" s="54"/>
    </row>
    <row r="115" spans="8:10" ht="13.75" customHeight="1" x14ac:dyDescent="0.25">
      <c r="H115" s="53"/>
      <c r="I115" s="53"/>
      <c r="J115" s="54"/>
    </row>
    <row r="116" spans="8:10" ht="13.75" customHeight="1" x14ac:dyDescent="0.25">
      <c r="H116" s="53"/>
      <c r="I116" s="53"/>
      <c r="J116" s="54"/>
    </row>
    <row r="117" spans="8:10" ht="13.75" customHeight="1" x14ac:dyDescent="0.25">
      <c r="H117" s="53"/>
      <c r="I117" s="53"/>
      <c r="J117" s="54"/>
    </row>
    <row r="118" spans="8:10" ht="13.75" customHeight="1" x14ac:dyDescent="0.25">
      <c r="H118" s="53"/>
      <c r="I118" s="53"/>
      <c r="J118" s="54"/>
    </row>
    <row r="119" spans="8:10" ht="13.75" customHeight="1" x14ac:dyDescent="0.25">
      <c r="H119" s="53"/>
      <c r="I119" s="53"/>
      <c r="J119" s="54"/>
    </row>
    <row r="120" spans="8:10" ht="13.75" customHeight="1" x14ac:dyDescent="0.25">
      <c r="H120" s="53"/>
      <c r="I120" s="53"/>
      <c r="J120" s="54"/>
    </row>
    <row r="121" spans="8:10" ht="13.75" customHeight="1" x14ac:dyDescent="0.25">
      <c r="H121" s="53"/>
      <c r="I121" s="53"/>
      <c r="J121" s="54"/>
    </row>
    <row r="122" spans="8:10" ht="13.75" customHeight="1" x14ac:dyDescent="0.25">
      <c r="H122" s="53"/>
      <c r="I122" s="53"/>
      <c r="J122" s="54"/>
    </row>
    <row r="123" spans="8:10" ht="13.75" customHeight="1" x14ac:dyDescent="0.25">
      <c r="H123" s="53"/>
      <c r="I123" s="53"/>
      <c r="J123" s="54"/>
    </row>
    <row r="124" spans="8:10" ht="13.75" customHeight="1" x14ac:dyDescent="0.25">
      <c r="H124" s="53"/>
      <c r="I124" s="53"/>
      <c r="J124" s="54"/>
    </row>
    <row r="125" spans="8:10" ht="13.75" customHeight="1" x14ac:dyDescent="0.25">
      <c r="H125" s="53"/>
      <c r="I125" s="53"/>
      <c r="J125" s="54"/>
    </row>
    <row r="126" spans="8:10" ht="13.75" customHeight="1" x14ac:dyDescent="0.25">
      <c r="H126" s="53"/>
      <c r="I126" s="53"/>
      <c r="J126" s="54"/>
    </row>
    <row r="127" spans="8:10" ht="13.75" customHeight="1" x14ac:dyDescent="0.25">
      <c r="H127" s="53"/>
      <c r="I127" s="53"/>
      <c r="J127" s="54"/>
    </row>
    <row r="128" spans="8:10" ht="13.75" customHeight="1" x14ac:dyDescent="0.25">
      <c r="H128" s="53"/>
      <c r="I128" s="53"/>
      <c r="J128" s="54"/>
    </row>
    <row r="129" spans="8:10" ht="13.75" customHeight="1" x14ac:dyDescent="0.25">
      <c r="H129" s="53"/>
      <c r="I129" s="53"/>
      <c r="J129" s="54"/>
    </row>
    <row r="130" spans="8:10" ht="13.75" customHeight="1" x14ac:dyDescent="0.25">
      <c r="H130" s="53"/>
      <c r="I130" s="53"/>
      <c r="J130" s="54"/>
    </row>
    <row r="131" spans="8:10" ht="13.75" customHeight="1" x14ac:dyDescent="0.25">
      <c r="H131" s="53"/>
      <c r="I131" s="53"/>
      <c r="J131" s="54"/>
    </row>
    <row r="132" spans="8:10" ht="13.75" customHeight="1" x14ac:dyDescent="0.25">
      <c r="H132" s="53"/>
      <c r="I132" s="53"/>
      <c r="J132" s="54"/>
    </row>
    <row r="133" spans="8:10" ht="13.75" customHeight="1" x14ac:dyDescent="0.25">
      <c r="H133" s="53"/>
      <c r="I133" s="53"/>
      <c r="J133" s="54"/>
    </row>
    <row r="134" spans="8:10" ht="13.75" customHeight="1" x14ac:dyDescent="0.25">
      <c r="H134" s="53"/>
      <c r="I134" s="53"/>
      <c r="J134" s="54"/>
    </row>
    <row r="135" spans="8:10" ht="13.75" customHeight="1" x14ac:dyDescent="0.25">
      <c r="H135" s="53"/>
      <c r="I135" s="53"/>
      <c r="J135" s="54"/>
    </row>
    <row r="136" spans="8:10" ht="13.75" customHeight="1" x14ac:dyDescent="0.25">
      <c r="H136" s="53"/>
      <c r="I136" s="53"/>
      <c r="J136" s="54"/>
    </row>
    <row r="137" spans="8:10" ht="13.75" customHeight="1" x14ac:dyDescent="0.25">
      <c r="H137" s="53"/>
      <c r="I137" s="53"/>
      <c r="J137" s="54"/>
    </row>
    <row r="138" spans="8:10" ht="13.75" customHeight="1" x14ac:dyDescent="0.25">
      <c r="H138" s="53"/>
      <c r="I138" s="53"/>
      <c r="J138" s="54"/>
    </row>
    <row r="139" spans="8:10" ht="13.75" customHeight="1" x14ac:dyDescent="0.25">
      <c r="H139" s="53"/>
      <c r="I139" s="53"/>
      <c r="J139" s="54"/>
    </row>
    <row r="140" spans="8:10" ht="13.75" customHeight="1" x14ac:dyDescent="0.25">
      <c r="H140" s="53"/>
      <c r="I140" s="53"/>
      <c r="J140" s="54"/>
    </row>
    <row r="141" spans="8:10" ht="13.75" customHeight="1" x14ac:dyDescent="0.25">
      <c r="H141" s="53"/>
      <c r="I141" s="53"/>
      <c r="J141" s="54"/>
    </row>
    <row r="142" spans="8:10" ht="13.75" customHeight="1" x14ac:dyDescent="0.25">
      <c r="H142" s="53"/>
      <c r="I142" s="53"/>
      <c r="J142" s="54"/>
    </row>
    <row r="143" spans="8:10" ht="13.75" customHeight="1" x14ac:dyDescent="0.25">
      <c r="H143" s="53"/>
      <c r="I143" s="53"/>
      <c r="J143" s="54"/>
    </row>
    <row r="144" spans="8:10" ht="13.75" customHeight="1" x14ac:dyDescent="0.25">
      <c r="H144" s="53"/>
      <c r="I144" s="53"/>
      <c r="J144" s="54"/>
    </row>
    <row r="145" spans="8:10" ht="13.75" customHeight="1" x14ac:dyDescent="0.25">
      <c r="H145" s="53"/>
      <c r="I145" s="53"/>
      <c r="J145" s="54"/>
    </row>
    <row r="146" spans="8:10" ht="13.75" customHeight="1" x14ac:dyDescent="0.25">
      <c r="H146" s="53"/>
      <c r="I146" s="53"/>
      <c r="J146" s="54"/>
    </row>
    <row r="147" spans="8:10" ht="13.75" customHeight="1" x14ac:dyDescent="0.25">
      <c r="H147" s="53"/>
      <c r="I147" s="53"/>
      <c r="J147" s="54"/>
    </row>
    <row r="148" spans="8:10" ht="13.75" customHeight="1" x14ac:dyDescent="0.25">
      <c r="H148" s="53"/>
      <c r="I148" s="53"/>
      <c r="J148" s="54"/>
    </row>
    <row r="149" spans="8:10" ht="13.75" customHeight="1" x14ac:dyDescent="0.25">
      <c r="H149" s="53"/>
      <c r="I149" s="53"/>
      <c r="J149" s="54"/>
    </row>
    <row r="150" spans="8:10" ht="13.75" customHeight="1" x14ac:dyDescent="0.25">
      <c r="H150" s="53"/>
      <c r="I150" s="53"/>
      <c r="J150" s="54"/>
    </row>
    <row r="151" spans="8:10" ht="13.75" customHeight="1" x14ac:dyDescent="0.25">
      <c r="H151" s="53"/>
      <c r="I151" s="53"/>
      <c r="J151" s="54"/>
    </row>
    <row r="152" spans="8:10" ht="13.75" customHeight="1" x14ac:dyDescent="0.25">
      <c r="H152" s="53"/>
      <c r="I152" s="53"/>
      <c r="J152" s="54"/>
    </row>
    <row r="153" spans="8:10" ht="13.75" customHeight="1" x14ac:dyDescent="0.25">
      <c r="H153" s="53"/>
      <c r="I153" s="53"/>
      <c r="J153" s="54"/>
    </row>
    <row r="154" spans="8:10" ht="13.75" customHeight="1" x14ac:dyDescent="0.25">
      <c r="H154" s="53"/>
      <c r="I154" s="53"/>
      <c r="J154" s="54"/>
    </row>
    <row r="155" spans="8:10" ht="13.75" customHeight="1" x14ac:dyDescent="0.25">
      <c r="H155" s="53"/>
      <c r="I155" s="53"/>
      <c r="J155" s="54"/>
    </row>
    <row r="156" spans="8:10" ht="13.75" customHeight="1" x14ac:dyDescent="0.25">
      <c r="H156" s="53"/>
      <c r="I156" s="53"/>
      <c r="J156" s="54"/>
    </row>
    <row r="157" spans="8:10" ht="13.75" customHeight="1" x14ac:dyDescent="0.25">
      <c r="H157" s="53"/>
      <c r="I157" s="53"/>
      <c r="J157" s="54"/>
    </row>
    <row r="158" spans="8:10" ht="13.75" customHeight="1" x14ac:dyDescent="0.25">
      <c r="H158" s="53"/>
      <c r="I158" s="53"/>
      <c r="J158" s="54"/>
    </row>
    <row r="159" spans="8:10" ht="13.75" customHeight="1" x14ac:dyDescent="0.25">
      <c r="H159" s="53"/>
      <c r="I159" s="53"/>
      <c r="J159" s="54"/>
    </row>
    <row r="160" spans="8:10" ht="13.75" customHeight="1" x14ac:dyDescent="0.25">
      <c r="H160" s="53"/>
      <c r="I160" s="53"/>
      <c r="J160" s="54"/>
    </row>
    <row r="161" spans="8:10" ht="13.75" customHeight="1" x14ac:dyDescent="0.25">
      <c r="H161" s="53"/>
      <c r="I161" s="53"/>
      <c r="J161" s="54"/>
    </row>
    <row r="162" spans="8:10" ht="13.75" customHeight="1" x14ac:dyDescent="0.25">
      <c r="H162" s="53"/>
      <c r="I162" s="53"/>
      <c r="J162" s="54"/>
    </row>
    <row r="163" spans="8:10" ht="13.75" customHeight="1" x14ac:dyDescent="0.25">
      <c r="H163" s="53"/>
      <c r="I163" s="53"/>
      <c r="J163" s="54"/>
    </row>
    <row r="164" spans="8:10" ht="13.75" customHeight="1" x14ac:dyDescent="0.25">
      <c r="H164" s="53"/>
      <c r="I164" s="53"/>
      <c r="J164" s="54"/>
    </row>
    <row r="165" spans="8:10" ht="13.75" customHeight="1" x14ac:dyDescent="0.25">
      <c r="H165" s="53"/>
      <c r="I165" s="53"/>
      <c r="J165" s="54"/>
    </row>
    <row r="166" spans="8:10" ht="13.75" customHeight="1" x14ac:dyDescent="0.25">
      <c r="H166" s="53"/>
      <c r="I166" s="53"/>
      <c r="J166" s="54"/>
    </row>
    <row r="167" spans="6:10" ht="13.75" customHeight="1" x14ac:dyDescent="0.25">
      <c r="H167" s="53"/>
      <c r="I167" s="53"/>
      <c r="J167" s="54"/>
    </row>
    <row r="168" spans="6:10" ht="13.75" customHeight="1" x14ac:dyDescent="0.25">
      <c r="H168" s="53"/>
      <c r="I168" s="53"/>
      <c r="J168" s="54"/>
    </row>
    <row r="169" spans="6:10" ht="13.75" customHeight="1" x14ac:dyDescent="0.25">
      <c r="H169" s="53"/>
      <c r="I169" s="53"/>
      <c r="J169" s="54"/>
    </row>
    <row r="170" spans="6:10" ht="13.75" customHeight="1" x14ac:dyDescent="0.25">
      <c r="H170" s="53"/>
      <c r="I170" s="53"/>
      <c r="J170" s="54"/>
    </row>
    <row r="171" spans="6:10" ht="13.75" customHeight="1" x14ac:dyDescent="0.25">
      <c r="H171" s="53"/>
      <c r="I171" s="53"/>
      <c r="J171" s="54"/>
    </row>
    <row r="172" spans="6:10" ht="13.75" customHeight="1" x14ac:dyDescent="0.25">
      <c r="F172" s="10"/>
      <c r="G172" s="10"/>
      <c r="H172" s="53"/>
      <c r="I172" s="53"/>
      <c r="J172" s="54"/>
    </row>
    <row r="173" spans="6:10" ht="13.75" customHeight="1" x14ac:dyDescent="0.25">
      <c r="F173" s="1"/>
      <c r="G173" s="1"/>
      <c r="H173" s="53"/>
      <c r="I173" s="53"/>
      <c r="J173" s="54"/>
    </row>
    <row r="174" spans="6:10" ht="13.75" customHeight="1" x14ac:dyDescent="0.25">
      <c r="F174" s="1"/>
      <c r="G174" s="1"/>
      <c r="H174" s="53"/>
      <c r="I174" s="53"/>
      <c r="J174" s="54"/>
    </row>
    <row r="175" spans="6:10" ht="13.75" customHeight="1" x14ac:dyDescent="0.25">
      <c r="F175" s="1"/>
      <c r="G175" s="1"/>
      <c r="H175" s="53"/>
      <c r="I175" s="53"/>
      <c r="J175" s="54"/>
    </row>
    <row r="176" spans="6:10" ht="13.75" customHeight="1" x14ac:dyDescent="0.25">
      <c r="F176" s="1"/>
      <c r="G176" s="1"/>
      <c r="H176" s="53"/>
      <c r="I176" s="53"/>
      <c r="J176" s="54"/>
    </row>
    <row r="177" spans="6:10" ht="24.95" customHeight="1" x14ac:dyDescent="0.25">
      <c r="H177" s="53"/>
      <c r="I177" s="53"/>
      <c r="J177" s="54"/>
    </row>
    <row r="178" spans="6:10" ht="13.75" customHeight="1" x14ac:dyDescent="0.25">
      <c r="H178" s="53"/>
      <c r="I178" s="53"/>
      <c r="J178" s="54"/>
    </row>
    <row r="179" spans="6:10" ht="13.75" customHeight="1" x14ac:dyDescent="0.25">
      <c r="H179" s="53"/>
      <c r="I179" s="53"/>
      <c r="J179" s="54"/>
    </row>
    <row r="180" spans="6:10" ht="13.75" customHeight="1" x14ac:dyDescent="0.25">
      <c r="H180" s="53"/>
      <c r="I180" s="53"/>
      <c r="J180" s="54"/>
    </row>
    <row r="181" spans="6:10" ht="13.75" customHeight="1" x14ac:dyDescent="0.25">
      <c r="H181" s="53"/>
      <c r="I181" s="53"/>
      <c r="J181" s="54"/>
    </row>
    <row r="182" spans="6:10" ht="13.75" customHeight="1" x14ac:dyDescent="0.25">
      <c r="H182" s="53"/>
      <c r="I182" s="53"/>
      <c r="J182" s="54"/>
    </row>
    <row r="183" spans="8:10" ht="13.75" customHeight="1" x14ac:dyDescent="0.25">
      <c r="H183" s="53"/>
      <c r="I183" s="53"/>
      <c r="J183" s="54"/>
    </row>
    <row r="184" spans="8:10" ht="13.75" customHeight="1" x14ac:dyDescent="0.25">
      <c r="H184" s="53"/>
      <c r="I184" s="53"/>
      <c r="J184" s="54"/>
    </row>
    <row r="185" spans="8:10" ht="13.75" customHeight="1" x14ac:dyDescent="0.25">
      <c r="H185" s="53"/>
      <c r="I185" s="53"/>
      <c r="J185" s="54"/>
    </row>
    <row r="186" spans="8:10" ht="13.75" customHeight="1" x14ac:dyDescent="0.25">
      <c r="H186" s="53"/>
      <c r="I186" s="53"/>
      <c r="J186" s="54"/>
    </row>
    <row r="187" spans="8:10" ht="13.75" customHeight="1" x14ac:dyDescent="0.25">
      <c r="H187" s="53"/>
      <c r="I187" s="53"/>
      <c r="J187" s="54"/>
    </row>
    <row r="188" spans="8:10" ht="13.75" customHeight="1" x14ac:dyDescent="0.25">
      <c r="H188" s="53"/>
      <c r="I188" s="53"/>
      <c r="J188" s="54"/>
    </row>
    <row r="189" spans="8:10" ht="13.75" customHeight="1" x14ac:dyDescent="0.25">
      <c r="H189" s="53"/>
      <c r="I189" s="53"/>
      <c r="J189" s="54"/>
    </row>
    <row r="190" spans="8:10" ht="13.75" customHeight="1" x14ac:dyDescent="0.25">
      <c r="H190" s="53"/>
      <c r="I190" s="53"/>
      <c r="J190" s="54"/>
    </row>
    <row r="191" spans="8:10" ht="13.75" customHeight="1" x14ac:dyDescent="0.25">
      <c r="H191" s="53"/>
      <c r="I191" s="53"/>
      <c r="J191" s="54"/>
    </row>
    <row r="192" spans="8:10" ht="13.75" customHeight="1" x14ac:dyDescent="0.25">
      <c r="H192" s="53"/>
      <c r="I192" s="53"/>
      <c r="J192" s="54"/>
    </row>
    <row r="193" spans="8:10" ht="13.75" customHeight="1" x14ac:dyDescent="0.25">
      <c r="H193" s="53"/>
      <c r="I193" s="53"/>
      <c r="J193" s="54"/>
    </row>
    <row r="194" spans="8:10" ht="13.75" customHeight="1" x14ac:dyDescent="0.25">
      <c r="H194" s="53"/>
      <c r="I194" s="53"/>
      <c r="J194" s="54"/>
    </row>
    <row r="195" spans="8:10" ht="13.75" customHeight="1" x14ac:dyDescent="0.25">
      <c r="H195" s="53"/>
      <c r="I195" s="53"/>
      <c r="J195" s="54"/>
    </row>
    <row r="196" spans="8:10" ht="13.75" customHeight="1" x14ac:dyDescent="0.25">
      <c r="H196" s="53"/>
      <c r="I196" s="53"/>
      <c r="J196" s="54"/>
    </row>
    <row r="197" spans="8:10" ht="13.75" customHeight="1" x14ac:dyDescent="0.25">
      <c r="H197" s="53"/>
      <c r="I197" s="53"/>
      <c r="J197" s="54"/>
    </row>
    <row r="198" spans="8:10" ht="13.75" customHeight="1" x14ac:dyDescent="0.25">
      <c r="H198" s="53"/>
      <c r="I198" s="53"/>
      <c r="J198" s="54"/>
    </row>
    <row r="199" spans="8:10" ht="13.75" customHeight="1" x14ac:dyDescent="0.25">
      <c r="H199" s="53"/>
      <c r="I199" s="53"/>
      <c r="J199" s="54"/>
    </row>
    <row r="200" spans="8:10" ht="13.75" customHeight="1" x14ac:dyDescent="0.25">
      <c r="H200" s="53"/>
      <c r="I200" s="53"/>
      <c r="J200" s="54"/>
    </row>
    <row r="201" spans="8:10" ht="13.75" customHeight="1" x14ac:dyDescent="0.25">
      <c r="H201" s="53"/>
      <c r="I201" s="53"/>
      <c r="J201" s="54"/>
    </row>
    <row r="202" spans="8:10" ht="13.75" customHeight="1" x14ac:dyDescent="0.25">
      <c r="H202" s="53"/>
      <c r="I202" s="53"/>
      <c r="J202" s="54"/>
    </row>
    <row r="203" spans="8:10" ht="13.75" customHeight="1" x14ac:dyDescent="0.25">
      <c r="H203" s="53"/>
      <c r="I203" s="53"/>
      <c r="J203" s="54"/>
    </row>
    <row r="204" spans="8:10" ht="13.75" customHeight="1" x14ac:dyDescent="0.25">
      <c r="H204" s="53"/>
      <c r="I204" s="53"/>
      <c r="J204" s="54"/>
    </row>
    <row r="205" spans="8:10" ht="13.75" customHeight="1" x14ac:dyDescent="0.25">
      <c r="H205" s="53"/>
      <c r="I205" s="53"/>
      <c r="J205" s="54"/>
    </row>
    <row r="206" spans="8:10" ht="13.75" customHeight="1" x14ac:dyDescent="0.25">
      <c r="H206" s="53"/>
      <c r="I206" s="53"/>
      <c r="J206" s="54"/>
    </row>
    <row r="207" spans="8:10" ht="13.75" customHeight="1" x14ac:dyDescent="0.25">
      <c r="H207" s="53"/>
      <c r="I207" s="53"/>
      <c r="J207" s="54"/>
    </row>
    <row r="208" spans="8:10" ht="13.75" customHeight="1" x14ac:dyDescent="0.25">
      <c r="H208" s="53"/>
      <c r="I208" s="53"/>
      <c r="J208" s="54"/>
    </row>
    <row r="209" spans="8:10" ht="13.75" customHeight="1" x14ac:dyDescent="0.25">
      <c r="H209" s="53"/>
      <c r="I209" s="53"/>
      <c r="J209" s="54"/>
    </row>
    <row r="210" spans="8:10" ht="13.75" customHeight="1" x14ac:dyDescent="0.25">
      <c r="H210" s="53"/>
      <c r="I210" s="53"/>
      <c r="J210" s="54"/>
    </row>
    <row r="211" spans="8:10" ht="13.75" customHeight="1" x14ac:dyDescent="0.25">
      <c r="H211" s="53"/>
      <c r="I211" s="53"/>
      <c r="J211" s="54"/>
    </row>
    <row r="212" spans="8:10" ht="13.75" customHeight="1" x14ac:dyDescent="0.25">
      <c r="H212" s="53"/>
      <c r="I212" s="53"/>
      <c r="J212" s="54"/>
    </row>
    <row r="213" spans="8:10" ht="13.75" customHeight="1" x14ac:dyDescent="0.25">
      <c r="H213" s="53"/>
      <c r="I213" s="53"/>
      <c r="J213" s="54"/>
    </row>
    <row r="214" spans="8:10" ht="13.75" customHeight="1" x14ac:dyDescent="0.25">
      <c r="H214" s="53"/>
      <c r="I214" s="53"/>
      <c r="J214" s="54"/>
    </row>
    <row r="215" spans="8:10" ht="13.75" customHeight="1" x14ac:dyDescent="0.25">
      <c r="H215" s="53"/>
      <c r="I215" s="53"/>
      <c r="J215" s="54"/>
    </row>
    <row r="216" spans="8:10" ht="13.75" customHeight="1" x14ac:dyDescent="0.25">
      <c r="H216" s="53"/>
      <c r="I216" s="53"/>
      <c r="J216" s="54"/>
    </row>
    <row r="217" spans="8:10" ht="13.75" customHeight="1" x14ac:dyDescent="0.25">
      <c r="H217" s="53"/>
      <c r="I217" s="53"/>
      <c r="J217" s="54"/>
    </row>
    <row r="218" spans="8:10" ht="13.75" customHeight="1" x14ac:dyDescent="0.25">
      <c r="H218" s="53"/>
      <c r="I218" s="53"/>
      <c r="J218" s="54"/>
    </row>
    <row r="219" spans="8:10" ht="13.75" customHeight="1" x14ac:dyDescent="0.25">
      <c r="H219" s="53"/>
      <c r="I219" s="53"/>
      <c r="J219" s="54"/>
    </row>
    <row r="220" spans="8:10" ht="13.75" customHeight="1" x14ac:dyDescent="0.25">
      <c r="H220" s="53"/>
      <c r="I220" s="53"/>
      <c r="J220" s="54"/>
    </row>
    <row r="221" spans="8:10" ht="13.75" customHeight="1" x14ac:dyDescent="0.25">
      <c r="H221" s="53"/>
      <c r="I221" s="53"/>
      <c r="J221" s="54"/>
    </row>
    <row r="222" spans="8:10" ht="13.75" customHeight="1" x14ac:dyDescent="0.25">
      <c r="H222" s="53"/>
      <c r="I222" s="53"/>
      <c r="J222" s="54"/>
    </row>
    <row r="223" spans="8:10" ht="13.75" customHeight="1" x14ac:dyDescent="0.25">
      <c r="H223" s="53"/>
      <c r="I223" s="53"/>
      <c r="J223" s="54"/>
    </row>
    <row r="224" spans="8:10" ht="13.75" customHeight="1" x14ac:dyDescent="0.25">
      <c r="H224" s="53"/>
      <c r="I224" s="53"/>
      <c r="J224" s="54"/>
    </row>
    <row r="225" spans="8:10" ht="13.75" customHeight="1" x14ac:dyDescent="0.25">
      <c r="H225" s="53"/>
      <c r="I225" s="53"/>
      <c r="J225" s="54"/>
    </row>
    <row r="226" spans="8:10" ht="13.75" customHeight="1" x14ac:dyDescent="0.25">
      <c r="H226" s="53"/>
      <c r="I226" s="53"/>
      <c r="J226" s="54"/>
    </row>
    <row r="227" spans="8:10" ht="13.75" customHeight="1" x14ac:dyDescent="0.25">
      <c r="H227" s="53"/>
      <c r="I227" s="53"/>
      <c r="J227" s="54"/>
    </row>
    <row r="228" spans="8:10" ht="13.75" customHeight="1" x14ac:dyDescent="0.25">
      <c r="H228" s="53"/>
      <c r="I228" s="53"/>
      <c r="J228" s="54"/>
    </row>
    <row r="229" spans="8:10" ht="13.75" customHeight="1" x14ac:dyDescent="0.25">
      <c r="H229" s="53"/>
      <c r="I229" s="53"/>
      <c r="J229" s="54"/>
    </row>
    <row r="230" spans="8:10" ht="13.75" customHeight="1" x14ac:dyDescent="0.25">
      <c r="H230" s="53"/>
      <c r="I230" s="53"/>
      <c r="J230" s="54"/>
    </row>
    <row r="231" spans="8:10" ht="13.75" customHeight="1" x14ac:dyDescent="0.25">
      <c r="H231" s="53"/>
      <c r="I231" s="53"/>
      <c r="J231" s="54"/>
    </row>
    <row r="232" spans="8:10" ht="13.75" customHeight="1" x14ac:dyDescent="0.25">
      <c r="H232" s="53"/>
      <c r="I232" s="53"/>
      <c r="J232" s="54"/>
    </row>
    <row r="233" spans="8:10" ht="13.75" customHeight="1" x14ac:dyDescent="0.25">
      <c r="H233" s="53"/>
      <c r="I233" s="53"/>
      <c r="J233" s="54"/>
    </row>
    <row r="234" spans="8:10" ht="13.75" customHeight="1" x14ac:dyDescent="0.25">
      <c r="H234" s="53"/>
      <c r="I234" s="53"/>
      <c r="J234" s="54"/>
    </row>
    <row r="235" spans="8:10" ht="13.75" customHeight="1" x14ac:dyDescent="0.25">
      <c r="H235" s="53"/>
      <c r="I235" s="53"/>
      <c r="J235" s="54"/>
    </row>
    <row r="236" spans="8:10" ht="13.75" customHeight="1" x14ac:dyDescent="0.25">
      <c r="H236" s="53"/>
      <c r="I236" s="53"/>
      <c r="J236" s="54"/>
    </row>
    <row r="237" spans="8:10" ht="13.75" customHeight="1" x14ac:dyDescent="0.25">
      <c r="H237" s="53"/>
      <c r="I237" s="53"/>
      <c r="J237" s="54"/>
    </row>
    <row r="238" spans="8:10" ht="13.75" customHeight="1" x14ac:dyDescent="0.25">
      <c r="H238" s="53"/>
      <c r="I238" s="53"/>
      <c r="J238" s="54"/>
    </row>
    <row r="239" spans="8:10" ht="13.75" customHeight="1" x14ac:dyDescent="0.25">
      <c r="H239" s="53"/>
      <c r="I239" s="53"/>
      <c r="J239" s="54"/>
    </row>
    <row r="240" spans="8:10" ht="13.75" customHeight="1" x14ac:dyDescent="0.25">
      <c r="H240" s="53"/>
      <c r="I240" s="53"/>
      <c r="J240" s="54"/>
    </row>
    <row r="241" spans="8:10" ht="13.75" customHeight="1" x14ac:dyDescent="0.25">
      <c r="H241" s="53"/>
      <c r="I241" s="53"/>
      <c r="J241" s="54"/>
    </row>
    <row r="242" spans="8:10" ht="13.75" customHeight="1" x14ac:dyDescent="0.25">
      <c r="H242" s="53"/>
      <c r="I242" s="53"/>
      <c r="J242" s="54"/>
    </row>
    <row r="243" spans="8:10" ht="13.75" customHeight="1" x14ac:dyDescent="0.25">
      <c r="H243" s="53"/>
      <c r="I243" s="53"/>
      <c r="J243" s="54"/>
    </row>
    <row r="244" spans="8:10" ht="13.75" customHeight="1" x14ac:dyDescent="0.25">
      <c r="H244" s="53"/>
      <c r="I244" s="53"/>
      <c r="J244" s="54"/>
    </row>
    <row r="245" spans="8:10" ht="13.75" customHeight="1" x14ac:dyDescent="0.25"/>
    <row r="246" spans="8:10" ht="13.75" customHeight="1" x14ac:dyDescent="0.25"/>
    <row r="247" spans="3:10" ht="13.75" customHeight="1" x14ac:dyDescent="0.25"/>
    <row r="248" spans="3:10" ht="13.75" customHeight="1" x14ac:dyDescent="0.25"/>
    <row r="249" spans="3:10" ht="13.75" customHeight="1" x14ac:dyDescent="0.25"/>
    <row r="250" spans="3:10" ht="13.75" customHeight="1" x14ac:dyDescent="0.25"/>
    <row r="251" spans="3:10" ht="13.75" customHeight="1" x14ac:dyDescent="0.25"/>
    <row r="252" spans="3:10" ht="13.75" customHeight="1" x14ac:dyDescent="0.25"/>
    <row r="253" spans="3:10" ht="13.75" customHeight="1" x14ac:dyDescent="0.25">
      <c r="C253" s="2"/>
      <c r="D253" s="2"/>
      <c r="E253" s="2"/>
      <c r="F253" s="2"/>
      <c r="G253" s="2"/>
    </row>
    <row r="254" spans="3:10" ht="13.75" customHeight="1" x14ac:dyDescent="0.25">
      <c r="C254" s="2"/>
      <c r="D254" s="2"/>
      <c r="E254" s="2"/>
      <c r="F254" s="2"/>
      <c r="G254" s="2"/>
      <c r="H254" s="2"/>
      <c r="I254" s="2"/>
      <c r="J254" s="55"/>
    </row>
    <row r="255" spans="3:10" ht="13.75" customHeight="1" x14ac:dyDescent="0.25">
      <c r="C255" s="2"/>
      <c r="D255" s="2"/>
      <c r="E255" s="2"/>
      <c r="F255" s="2"/>
      <c r="G255" s="2"/>
      <c r="H255" s="2"/>
      <c r="I255" s="2"/>
      <c r="J255" s="55"/>
    </row>
    <row r="256" spans="3:10" ht="13.75" customHeight="1" x14ac:dyDescent="0.25">
      <c r="C256" s="2"/>
      <c r="D256" s="2"/>
      <c r="E256" s="2"/>
      <c r="F256" s="2"/>
      <c r="G256" s="2"/>
      <c r="H256" s="2"/>
      <c r="I256" s="2"/>
      <c r="J256" s="55"/>
    </row>
    <row r="257" spans="3:10" ht="13.75" customHeight="1" x14ac:dyDescent="0.25">
      <c r="C257" s="2"/>
      <c r="D257" s="2"/>
      <c r="E257" s="2"/>
      <c r="F257" s="2"/>
      <c r="G257" s="2"/>
      <c r="H257" s="2"/>
      <c r="I257" s="2"/>
      <c r="J257" s="55"/>
    </row>
    <row r="258" spans="3:10" ht="13.75" customHeight="1" x14ac:dyDescent="0.25">
      <c r="C258" s="2"/>
      <c r="D258" s="2"/>
      <c r="E258" s="2"/>
      <c r="F258" s="2"/>
      <c r="G258" s="2"/>
      <c r="H258" s="2"/>
      <c r="I258" s="2"/>
      <c r="J258" s="55"/>
    </row>
    <row r="259" spans="3:10" ht="13.75" customHeight="1" x14ac:dyDescent="0.25">
      <c r="C259" s="2"/>
      <c r="D259" s="2"/>
      <c r="E259" s="2"/>
      <c r="F259" s="2"/>
      <c r="G259" s="2"/>
      <c r="H259" s="2"/>
      <c r="I259" s="2"/>
      <c r="J259" s="55"/>
    </row>
    <row r="260" spans="3:10" ht="13.75" customHeight="1" x14ac:dyDescent="0.25">
      <c r="C260" s="2"/>
      <c r="D260" s="2"/>
      <c r="E260" s="2"/>
      <c r="F260" s="2"/>
      <c r="G260" s="2"/>
      <c r="H260" s="2"/>
      <c r="I260" s="2"/>
      <c r="J260" s="55"/>
    </row>
    <row r="261" spans="3:10" ht="13.75" customHeight="1" x14ac:dyDescent="0.25">
      <c r="C261" s="2"/>
      <c r="D261" s="2"/>
      <c r="E261" s="2"/>
      <c r="F261" s="2"/>
      <c r="G261" s="2"/>
      <c r="H261" s="2"/>
      <c r="I261" s="2"/>
      <c r="J261" s="55"/>
    </row>
    <row r="262" spans="3:10" ht="13.75" customHeight="1" x14ac:dyDescent="0.25">
      <c r="C262" s="2"/>
      <c r="D262" s="2"/>
      <c r="E262" s="2"/>
      <c r="F262" s="2"/>
      <c r="G262" s="2"/>
      <c r="H262" s="2"/>
      <c r="I262" s="2"/>
      <c r="J262" s="55"/>
    </row>
    <row r="263" spans="3:10" ht="13.75" customHeight="1" x14ac:dyDescent="0.25">
      <c r="C263" s="2"/>
      <c r="D263" s="2"/>
      <c r="E263" s="2"/>
      <c r="F263" s="2"/>
      <c r="G263" s="2"/>
      <c r="H263" s="2"/>
      <c r="I263" s="2"/>
      <c r="J263" s="55"/>
    </row>
    <row r="264" spans="3:10" ht="13.75" customHeight="1" x14ac:dyDescent="0.25">
      <c r="C264" s="2"/>
      <c r="D264" s="2"/>
      <c r="E264" s="2"/>
      <c r="F264" s="2"/>
      <c r="G264" s="2"/>
      <c r="H264" s="2"/>
      <c r="I264" s="2"/>
      <c r="J264" s="55"/>
    </row>
    <row r="265" spans="3:10" ht="13.75" customHeight="1" x14ac:dyDescent="0.25">
      <c r="C265" s="2"/>
      <c r="D265" s="2"/>
      <c r="E265" s="2"/>
      <c r="F265" s="2"/>
      <c r="G265" s="2"/>
      <c r="H265" s="2"/>
      <c r="I265" s="2"/>
      <c r="J265" s="55"/>
    </row>
    <row r="266" spans="3:10" ht="13.75" customHeight="1" x14ac:dyDescent="0.25">
      <c r="C266" s="1"/>
      <c r="D266" s="1"/>
      <c r="E266" s="1"/>
      <c r="F266" s="1"/>
      <c r="G266" s="1"/>
      <c r="H266" s="2"/>
      <c r="I266" s="2"/>
      <c r="J266" s="55"/>
    </row>
    <row r="267" spans="3:10" x14ac:dyDescent="0.25">
      <c r="C267" s="1"/>
      <c r="D267" s="1"/>
      <c r="E267" s="1"/>
      <c r="F267" s="1"/>
      <c r="G267" s="1"/>
      <c r="H267" s="1"/>
      <c r="I267" s="1"/>
      <c r="J267" s="47"/>
    </row>
    <row r="268" spans="3:10" x14ac:dyDescent="0.25">
      <c r="C268" s="1"/>
      <c r="D268" s="1"/>
      <c r="E268" s="1"/>
      <c r="F268" s="1"/>
      <c r="G268" s="1"/>
      <c r="H268" s="1"/>
      <c r="I268" s="1"/>
      <c r="J268" s="47"/>
    </row>
    <row r="269" spans="3:10" x14ac:dyDescent="0.25">
      <c r="H269" s="1"/>
      <c r="I269" s="1"/>
      <c r="J269" s="47"/>
    </row>
  </sheetData>
  <autoFilter ref="H5:J5"/>
  <mergeCells count="1">
    <mergeCell ref="H4:J4"/>
  </mergeCells>
  <hyperlinks>
    <hyperlink display="Open Form (E100_103)" tooltip="Open Form (E100_103)" location="" ref="B5"/>
    <hyperlink display="Open Form (E100_103)" tooltip="Open Form (E100_103)" location="" ref="C5"/>
    <hyperlink display="Open Form (E100_103)" tooltip="Open Form (E100_103)" location="" ref="B6"/>
    <hyperlink display="Open Form (E100_103)" tooltip="Open Form (E100_103)" location="" ref="C6"/>
    <hyperlink display="Open Form (E100_103)" tooltip="Open Form (E100_103)" location="" ref="B7"/>
    <hyperlink display="Open Form (E100_103)" tooltip="Open Form (E100_103)" location="" ref="C7"/>
    <hyperlink display="Open Form (E100_103)" tooltip="Open Form (E100_103)" location="" ref="B8"/>
    <hyperlink display="Open Form (E100_103)" tooltip="Open Form (E100_103)" location="" ref="C8"/>
    <hyperlink display="Open Form (E100_103)" tooltip="Open Form (E100_103)" location="" ref="B9"/>
    <hyperlink display="Open Form (E100_103)" tooltip="Open Form (E100_103)" location="" ref="C9"/>
    <hyperlink display="Open Form (E100_103)" tooltip="Open Form (E100_103)" location="" ref="B10"/>
    <hyperlink display="Open Form (E100_103)" tooltip="Open Form (E100_103)" location="" ref="C10"/>
    <hyperlink display="Open Form (E100_103)" tooltip="Open Form (E100_103)" location="" ref="B11"/>
    <hyperlink display="Open Form (E100_103)" tooltip="Open Form (E100_103)" location="" ref="C11"/>
    <hyperlink display="Open Form (E100_103)" tooltip="Open Form (E100_103)" location="" ref="B12"/>
    <hyperlink display="Open Form (E100_103)" tooltip="Open Form (E100_103)" location="" ref="C12"/>
    <hyperlink display="Open Form (E100_103)" tooltip="Open Form (E100_103)" location="" ref="B13"/>
    <hyperlink display="Open Form (E100_103)" tooltip="Open Form (E100_103)" location="" ref="C13"/>
    <hyperlink display="Open Form (E100_103)" tooltip="Open Form (E100_103)" location="" ref="B14"/>
    <hyperlink display="Open Form (E100_103)" tooltip="Open Form (E100_103)" location="" ref="C14"/>
    <hyperlink display="Open Form (E100_103)" tooltip="Open Form (E100_103)" location="" ref="B15"/>
    <hyperlink display="Open Form (E100_103)" tooltip="Open Form (E100_103)" location="" ref="C15"/>
    <hyperlink display="Open Form (E100_103)" tooltip="Open Form (E100_103)" location="" ref="B16"/>
    <hyperlink display="Open Form (E100_103)" tooltip="Open Form (E100_103)" location="" ref="C16"/>
    <hyperlink display="Open Form (E100_103)" tooltip="Open Form (E100_103)" location="" ref="B17"/>
    <hyperlink display="Open Form (E100_103)" tooltip="Open Form (E100_103)" location="" ref="C17"/>
    <hyperlink display="Open Form (E100_103)" tooltip="Open Form (E100_103)" location="" ref="B18"/>
    <hyperlink display="Open Form (E100_103)" tooltip="Open Form (E100_103)" location="" ref="C18"/>
    <hyperlink display="Open Form (E100_103)" tooltip="Open Form (E100_103)" location="" ref="B19"/>
    <hyperlink display="Open Form (E100_103)" tooltip="Open Form (E100_103)" location="" ref="C19"/>
    <hyperlink display="Open Form (E100_103)" tooltip="Open Form (E100_103)" location="" ref="B20"/>
    <hyperlink display="Open Form (E100_103)" tooltip="Open Form (E100_103)" location="" ref="C20"/>
    <hyperlink display="Open Form (E100_103)" tooltip="Open Form (E100_103)" location="" ref="B21"/>
    <hyperlink display="Open Form (E100_103)" tooltip="Open Form (E100_103)" location="" ref="C21"/>
    <hyperlink display="Open Form (E100_103)" tooltip="Open Form (E100_103)" location="" ref="B22"/>
    <hyperlink display="Open Form (E100_103)" tooltip="Open Form (E100_103)" location="" ref="C22"/>
    <hyperlink display="Open Form (E100_103)" tooltip="Open Form (E100_103)" location="" ref="B23"/>
    <hyperlink display="Open Form (E100_103)" tooltip="Open Form (E100_103)" location="" ref="C23"/>
    <hyperlink display="Open Form (E100_103)" tooltip="Open Form (E100_103)" location="" ref="B24"/>
    <hyperlink display="Open Form (E100_103)" tooltip="Open Form (E100_103)" location="" ref="C24"/>
    <hyperlink display="Open Form (E100_103)" tooltip="Open Form (E100_103)" location="" ref="B25"/>
    <hyperlink display="Open Form (E100_103)" tooltip="Open Form (E100_103)" location="" ref="C25"/>
    <hyperlink display="Open Form (E100_103)" tooltip="Open Form (E100_103)" location="" ref="B26"/>
    <hyperlink display="Open Form (E100_103)" tooltip="Open Form (E100_103)" location="" ref="C26"/>
    <hyperlink display="Open Form (E100_103)" tooltip="Open Form (E100_103)" location="" ref="B27"/>
    <hyperlink display="Open Form (E100_103)" tooltip="Open Form (E100_103)" location="" ref="C27"/>
    <hyperlink display="Open Form (E100_103)" tooltip="Open Form (E100_103)" location="" ref="B28"/>
    <hyperlink display="Open Form (E100_103)" tooltip="Open Form (E100_103)" location="" ref="C28"/>
    <hyperlink display="Open Form (E100_103)" tooltip="Open Form (E100_103)" location="" ref="B29"/>
    <hyperlink display="Open Form (E100_103)" tooltip="Open Form (E100_103)" location="" ref="C29"/>
    <hyperlink display="Open Form (E100_103)" tooltip="Open Form (E100_103)" location="" ref="B30"/>
    <hyperlink display="Open Form (E100_103)" tooltip="Open Form (E100_103)" location="" ref="C30"/>
    <hyperlink display="Open Form (E100_103)" tooltip="Open Form (E100_103)" location="" ref="B31"/>
    <hyperlink display="Open Form (E100_103)" tooltip="Open Form (E100_103)" location="" ref="C31"/>
    <hyperlink display="Open Form (E100_103)" tooltip="Open Form (E100_103)" location="" ref="B32"/>
    <hyperlink display="Open Form (E100_103)" tooltip="Open Form (E100_103)" location="" ref="C32"/>
    <hyperlink display="Open Form (E100_103)" tooltip="Open Form (E100_103)" location="" ref="B33"/>
    <hyperlink display="Open Form (E100_103)" tooltip="Open Form (E100_103)" location="" ref="C33"/>
    <hyperlink display="Open Form (E100_103)" tooltip="Open Form (E100_103)" location="" ref="B34"/>
    <hyperlink display="Open Form (E100_103)" tooltip="Open Form (E100_103)" location="" ref="C34"/>
    <hyperlink display="Open Form (E100_103)" tooltip="Open Form (E100_103)" location="" ref="B35"/>
    <hyperlink display="Open Form (E100_103)" tooltip="Open Form (E100_103)" location="" ref="C35"/>
    <hyperlink display="Open Form (E100_103)" tooltip="Open Form (E100_103)" location="" ref="B36"/>
    <hyperlink display="Open Form (E100_103)" tooltip="Open Form (E100_103)" location="" ref="C36"/>
    <hyperlink display="Open Form (E100_103)" tooltip="Open Form (E100_103)" location="" ref="B37"/>
    <hyperlink display="Open Form (E100_103)" tooltip="Open Form (E100_103)" location="" ref="C37"/>
    <hyperlink display="Open Form (E100_103)" tooltip="Open Form (E100_103)" location="" ref="B38"/>
    <hyperlink display="Open Form (E100_103)" tooltip="Open Form (E100_103)" location="" ref="C38"/>
    <hyperlink display="Open Form (E100_103)" tooltip="Open Form (E100_103)" location="" ref="B39"/>
    <hyperlink display="Open Form (E100_103)" tooltip="Open Form (E100_103)" location="" ref="C39"/>
    <hyperlink display="Open Form (E100_103)" tooltip="Open Form (E100_103)" location="" ref="B40"/>
    <hyperlink display="Open Form (E100_103)" tooltip="Open Form (E100_103)" location="" ref="C40"/>
    <hyperlink display="Open Form (E100_103)" tooltip="Open Form (E100_103)" location="" ref="B41"/>
    <hyperlink display="Open Form (E100_103)" tooltip="Open Form (E100_103)" location="" ref="C41"/>
    <hyperlink display="Open Form (E100_103)" tooltip="Open Form (E100_103)" location="" ref="B42"/>
    <hyperlink display="Open Form (E100_103)" tooltip="Open Form (E100_103)" location="" ref="C42"/>
    <hyperlink display="Open Form (E100_103)" tooltip="Open Form (E100_103)" location="" ref="B43"/>
    <hyperlink display="Open Form (E100_103)" tooltip="Open Form (E100_103)" location="" ref="C43"/>
    <hyperlink display="Open Form (E100_103)" tooltip="Open Form (E100_103)" location="" ref="B44"/>
    <hyperlink display="Open Form (E100_103)" tooltip="Open Form (E100_103)" location="" ref="C44"/>
    <hyperlink display="Open Form (E100_103)" tooltip="Open Form (E100_103)" location="" ref="B45"/>
    <hyperlink display="Open Form (E100_103)" tooltip="Open Form (E100_103)" location="" ref="C45"/>
    <hyperlink display="Open Form (E100_103)" tooltip="Open Form (E100_103)" location="" ref="B46"/>
    <hyperlink display="Open Form (E100_103)" tooltip="Open Form (E100_103)" location="" ref="C46"/>
    <hyperlink display="Open Form (E100_103)" tooltip="Open Form (E100_103)" location="" ref="B47"/>
    <hyperlink display="Open Form (E100_103)" tooltip="Open Form (E100_103)" location="" ref="C47"/>
    <hyperlink display="Open Form (E100_103)" tooltip="Open Form (E100_103)" location="" ref="B48"/>
    <hyperlink display="Open Form (E100_103)" tooltip="Open Form (E100_103)" location="" ref="C48"/>
    <hyperlink display="Open Form (E100_103)" tooltip="Open Form (E100_103)" location="" ref="B49"/>
    <hyperlink display="Open Form (E100_103)" tooltip="Open Form (E100_103)" location="" ref="C49"/>
    <hyperlink display="Open Form (E100_103)" tooltip="Open Form (E100_103)" location="" ref="B50"/>
    <hyperlink display="Open Form (E100_103)" tooltip="Open Form (E100_103)" location="" ref="C50"/>
    <hyperlink display="Open Form (E100_103)" tooltip="Open Form (E100_103)" location="" ref="B51"/>
    <hyperlink display="Open Form (E100_103)" tooltip="Open Form (E100_103)" location="" ref="C51"/>
    <hyperlink display="Open Form (E100_103)" tooltip="Open Form (E100_103)" location="" ref="B52"/>
    <hyperlink display="Open Form (E100_103)" tooltip="Open Form (E100_103)" location="" ref="C52"/>
    <hyperlink display="Open Form (E100_103)" tooltip="Open Form (E100_103)" location="" ref="B53"/>
    <hyperlink display="Open Form (E100_103)" tooltip="Open Form (E100_103)" location="" ref="C53"/>
    <hyperlink display="Open Form (E100_103)" tooltip="Open Form (E100_103)" location="" ref="B54"/>
    <hyperlink display="Open Form (E100_103)" tooltip="Open Form (E100_103)" location="" ref="C54"/>
    <hyperlink display="Open Form (E100_103)" tooltip="Open Form (E100_103)" location="" ref="B55"/>
    <hyperlink display="Open Form (E100_103)" tooltip="Open Form (E100_103)" location="" ref="C55"/>
    <hyperlink display="Open Form (E100_103)" tooltip="Open Form (E100_103)" location="" ref="B56"/>
    <hyperlink display="Open Form (E100_103)" tooltip="Open Form (E100_103)" location="" ref="C56"/>
    <hyperlink display="Open Form (E100_103)" tooltip="Open Form (E100_103)" location="" ref="B57"/>
    <hyperlink display="Open Form (E100_103)" tooltip="Open Form (E100_103)" location="" ref="C57"/>
    <hyperlink display="Open Form (E100_103)" tooltip="Open Form (E100_103)" location="" ref="B58"/>
    <hyperlink display="Open Form (E100_103)" tooltip="Open Form (E100_103)" location="" ref="C58"/>
    <hyperlink display="Open Form (E100_103)" tooltip="Open Form (E100_103)" location="" ref="B59"/>
    <hyperlink display="Open Form (E100_103)" tooltip="Open Form (E100_103)" location="" ref="C59"/>
    <hyperlink display="Open Form (E100_103)" tooltip="Open Form (E100_103)" location="" ref="B60"/>
    <hyperlink display="Open Form (E100_103)" tooltip="Open Form (E100_103)" location="" ref="C60"/>
    <hyperlink display="Open Form (E100_103)" tooltip="Open Form (E100_103)" location="" ref="B61"/>
    <hyperlink display="Open Form (E100_103)" tooltip="Open Form (E100_103)" location="" ref="C61"/>
    <hyperlink display="Open Form (E100_103)" tooltip="Open Form (E100_103)" location="" ref="B62"/>
    <hyperlink display="Open Form (E100_103)" tooltip="Open Form (E100_103)" location="" ref="C62"/>
    <hyperlink display="Open Form (E100_103)" tooltip="Open Form (E100_103)" location="" ref="B63"/>
    <hyperlink display="Open Form (E100_103)" tooltip="Open Form (E100_103)" location="" ref="C63"/>
    <hyperlink display="Open Form (E100_103)" tooltip="Open Form (E100_103)" location="" ref="B64"/>
    <hyperlink display="Open Form (E100_103)" tooltip="Open Form (E100_103)" location="" ref="C64"/>
    <hyperlink display="Open Form (E100_103)" tooltip="Open Form (E100_103)" location="" ref="B65"/>
    <hyperlink display="Open Form (E100_103)" tooltip="Open Form (E100_103)" location="" ref="C65"/>
    <hyperlink display="Open Form (E100_103)" tooltip="Open Form (E100_103)" location="" ref="B66"/>
    <hyperlink display="Open Form (E100_103)" tooltip="Open Form (E100_103)" location="" ref="C66"/>
    <hyperlink display="Open Form (E100_103)" tooltip="Open Form (E100_103)" location="" ref="B67"/>
    <hyperlink display="Open Form (E100_103)" tooltip="Open Form (E100_103)" location="" ref="C67"/>
    <hyperlink display="Open Form (E100_103)" tooltip="Open Form (E100_103)" location="" ref="B68"/>
    <hyperlink display="Open Form (E100_103)" tooltip="Open Form (E100_103)" location="" ref="C68"/>
    <hyperlink display="Open Form (E100_103)" tooltip="Open Form (E100_103)" location="" ref="B69"/>
    <hyperlink display="Open Form (E100_103)" tooltip="Open Form (E100_103)" location="" ref="C69"/>
    <hyperlink display="Open Form (E100_103)" tooltip="Open Form (E100_103)" location="" ref="B70"/>
    <hyperlink display="Open Form (E100_103)" tooltip="Open Form (E100_103)" location="" ref="C70"/>
    <hyperlink display="Open Form (E100_103)" tooltip="Open Form (E100_103)" location="" ref="B71"/>
    <hyperlink display="Open Form (E100_103)" tooltip="Open Form (E100_103)" location="" ref="C71"/>
    <hyperlink display="Open Form (E100_103)" tooltip="Open Form (E100_103)" location="" ref="B72"/>
    <hyperlink display="Open Form (E100_103)" tooltip="Open Form (E100_103)" location="" ref="C72"/>
    <hyperlink display="Open Form (E100_103)" tooltip="Open Form (E100_103)" location="" ref="B73"/>
    <hyperlink display="Open Form (E100_103)" tooltip="Open Form (E100_103)" location="" ref="C73"/>
    <hyperlink display="Open Form (E100_103)" tooltip="Open Form (E100_103)" location="" ref="B74"/>
    <hyperlink display="Open Form (E100_103)" tooltip="Open Form (E100_103)" location="" ref="C74"/>
    <hyperlink display="Open Form (E100_103)" tooltip="Open Form (E100_103)" location="" ref="B75"/>
    <hyperlink display="Open Form (E100_103)" tooltip="Open Form (E100_103)" location="" ref="C75"/>
    <hyperlink display="Open Form (E100_103)" tooltip="Open Form (E100_103)" location="" ref="B76"/>
    <hyperlink display="Open Form (E100_103)" tooltip="Open Form (E100_103)" location="" ref="C76"/>
    <hyperlink display="Open Form (E100_103)" tooltip="Open Form (E100_103)" location="" ref="B77"/>
    <hyperlink display="Open Form (E100_103)" tooltip="Open Form (E100_103)" location="" ref="C77"/>
    <hyperlink display="Open Form (E100_103)" tooltip="Open Form (E100_103)" location="" ref="B78"/>
    <hyperlink display="Open Form (E100_103)" tooltip="Open Form (E100_103)" location="" ref="C78"/>
    <hyperlink display="Open Form (E100_103)" tooltip="Open Form (E100_103)" location="" ref="B79"/>
    <hyperlink display="Open Form (E100_103)" tooltip="Open Form (E100_103)" location="" ref="C79"/>
    <hyperlink display="Open Form (E100_103)" tooltip="Open Form (E100_103)" location="" ref="B80"/>
    <hyperlink display="Open Form (E100_103)" tooltip="Open Form (E100_103)" location="" ref="C80"/>
    <hyperlink display="Open Form (E100_103)" tooltip="Open Form (E100_103)" location="" ref="B81"/>
    <hyperlink display="Open Form (E100_103)" tooltip="Open Form (E100_103)" location="" ref="C81"/>
    <hyperlink display="Open Form (E100_103)" tooltip="Open Form (E100_103)" location="" ref="B82"/>
    <hyperlink display="Open Form (E100_103)" tooltip="Open Form (E100_103)" location="" ref="C82"/>
    <hyperlink display="Open Form (E100_103)" tooltip="Open Form (E100_103)" location="" ref="B83"/>
    <hyperlink display="Open Form (E100_103)" tooltip="Open Form (E100_103)" location="" ref="C83"/>
    <hyperlink display="Open Form (E100_103)" tooltip="Open Form (E100_103)" location="" ref="B84"/>
    <hyperlink display="Open Form (E100_103)" tooltip="Open Form (E100_103)" location="" ref="C84"/>
    <hyperlink display="Open Form (E100_103)" tooltip="Open Form (E100_103)" location="" ref="B85"/>
    <hyperlink display="Open Form (E100_103)" tooltip="Open Form (E100_103)" location="" ref="C85"/>
    <hyperlink display="Open Form (E100_103)" tooltip="Open Form (E100_103)" location="" ref="B86"/>
    <hyperlink display="Open Form (E100_103)" tooltip="Open Form (E100_103)" location="" ref="C86"/>
    <hyperlink display="Open Form (E100_103)" tooltip="Open Form (E100_103)" location="" ref="B87"/>
    <hyperlink display="Open Form (E100_103)" tooltip="Open Form (E100_103)" location="" ref="C87"/>
    <hyperlink display="Open Form (E100_103)" tooltip="Open Form (E100_103)" location="" ref="B88"/>
    <hyperlink display="Open Form (E100_103)" tooltip="Open Form (E100_103)" location="" ref="C88"/>
    <hyperlink display="Open Form (E100_103)" tooltip="Open Form (E100_103)" location="" ref="B89"/>
    <hyperlink display="Open Form (E100_103)" tooltip="Open Form (E100_103)" location="" ref="C89"/>
    <hyperlink display="Open Form (E100_103)" tooltip="Open Form (E100_103)" location="" ref="B90"/>
    <hyperlink display="Open Form (E100_103)" tooltip="Open Form (E100_103)" location="" ref="C90"/>
    <hyperlink display="Open Form (E100_103)" tooltip="Open Form (E100_103)" location="" ref="B91"/>
    <hyperlink display="Open Form (E100_103)" tooltip="Open Form (E100_103)" location="" ref="C91"/>
  </hyperlinks>
  <pageMargins left="0.75" right="0.75" top="1" bottom="1" header="0.5" footer="0.5"/>
  <pageSetup scale="72" orientation="landscape" r:id="rId1"/>
  <headerFooter alignWithMargins="0"/>
  <customProperties>
    <customPr name="TGK_SHEET_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IT141"/>
  <sheetViews>
    <sheetView showGridLines="0" showRowColHeaders="0" zoomScaleNormal="100" workbookViewId="0">
      <selection activeCell="B102" sqref="B102"/>
    </sheetView>
  </sheetViews>
  <sheetFormatPr defaultRowHeight="14.3" outlineLevelRow="1" x14ac:dyDescent="0.25"/>
  <cols>
    <col min="1" max="1" customWidth="true" width="1.85546875" collapsed="true"/>
    <col min="2" max="2" customWidth="true" width="35.0" collapsed="true"/>
    <col min="3" max="4" customWidth="true" width="14.85546875" collapsed="true"/>
    <col min="5" max="5" customWidth="true" width="1.7109375" collapsed="true"/>
    <col min="6" max="7" customWidth="true" width="14.85546875" collapsed="true"/>
    <col min="8" max="14" customWidth="true" width="12.7109375" collapsed="true"/>
    <col min="15" max="15" customWidth="true" width="1.42578125" collapsed="true"/>
  </cols>
  <sheetData>
    <row r="1" spans="1:15" s="1" customFormat="1" ht="20.7" customHeight="1" x14ac:dyDescent="0.25">
      <c r="B1" s="58" t="s">
        <v>126</v>
      </c>
    </row>
    <row r="2" spans="1:15" s="1" customFormat="1" ht="15" customHeight="1" x14ac:dyDescent="0.25">
      <c r="B2" s="8"/>
      <c r="C2" s="8"/>
      <c r="E2" s="82"/>
      <c r="F2" s="82"/>
      <c r="G2" s="82"/>
      <c r="H2" s="82"/>
      <c r="I2" s="82"/>
    </row>
    <row r="3" spans="1:15" s="1" customFormat="1" ht="21.75" hidden="1" customHeight="1" x14ac:dyDescent="0.25">
      <c r="A3" s="61"/>
      <c r="B3" s="83"/>
      <c r="C3" s="83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</row>
    <row r="4" spans="1:15" s="1" customFormat="1" ht="21.75" hidden="1" customHeight="1" x14ac:dyDescent="0.25">
      <c r="A4" s="61"/>
      <c r="B4" s="62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</row>
    <row r="5" spans="1:15" s="1" customFormat="1" hidden="1" x14ac:dyDescent="0.25">
      <c r="B5" s="63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5"/>
    </row>
    <row r="6" spans="1:15" s="1" customFormat="1" hidden="1" x14ac:dyDescent="0.25"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7"/>
    </row>
    <row r="7" spans="1:15" s="68" customFormat="1" ht="20.5" customHeight="1" collapsed="1" thickBot="1" x14ac:dyDescent="0.3">
      <c r="B7"/>
      <c r="C7" s="159" t="s">
        <v>273</v>
      </c>
      <c r="D7" s="159" t="s">
        <v>274</v>
      </c>
      <c r="E7" s="207" t="s">
        <v>275</v>
      </c>
      <c r="F7" s="159" t="s">
        <v>120</v>
      </c>
      <c r="G7" s="159" t="s">
        <v>121</v>
      </c>
      <c r="H7" s="13"/>
      <c r="I7" s="13"/>
      <c r="J7" s="13"/>
      <c r="K7" s="13"/>
      <c r="L7" s="13"/>
      <c r="M7" s="13"/>
      <c r="N7" s="13"/>
      <c r="O7" s="2"/>
    </row>
    <row r="8" spans="1:15" s="68" customFormat="1" ht="15" hidden="1" outlineLevel="1" thickTop="1" x14ac:dyDescent="0.25">
      <c r="B8" s="197" t="s">
        <v>41</v>
      </c>
      <c r="C8" s="195"/>
      <c r="D8" s="195"/>
      <c r="E8" s="199"/>
      <c r="F8" s="195" t="n">
        <f t="shared" ref="F8:F13" si="0">C8-D8</f>
        <v>0.0</v>
      </c>
      <c r="G8" s="195" t="n">
        <f t="shared" ref="G8:G39" si="1">IF(D8=0, 0, (C8-D8)/ABS(D8))</f>
        <v>0.0</v>
      </c>
      <c r="H8" s="4"/>
      <c r="I8" s="4"/>
      <c r="J8" s="4"/>
      <c r="K8" s="4"/>
      <c r="L8" s="4"/>
      <c r="M8" s="4"/>
      <c r="N8" s="4"/>
      <c r="O8" s="2"/>
    </row>
    <row r="9" spans="1:15" s="68" customFormat="1" hidden="1" outlineLevel="1" x14ac:dyDescent="0.25">
      <c r="B9" s="197" t="s">
        <v>42</v>
      </c>
      <c r="C9" s="195"/>
      <c r="D9" s="195"/>
      <c r="E9" s="199"/>
      <c r="F9" s="195" t="n">
        <f t="shared" si="0"/>
        <v>0.0</v>
      </c>
      <c r="G9" s="195" t="n">
        <f t="shared" si="1"/>
        <v>0.0</v>
      </c>
      <c r="H9" s="4"/>
      <c r="I9" s="4"/>
      <c r="J9" s="4"/>
      <c r="K9" s="4"/>
      <c r="L9" s="4"/>
      <c r="M9" s="4"/>
      <c r="N9" s="4"/>
      <c r="O9" s="2"/>
    </row>
    <row r="10" spans="1:15" s="68" customFormat="1" hidden="1" outlineLevel="1" x14ac:dyDescent="0.25">
      <c r="B10" s="197" t="s">
        <v>43</v>
      </c>
      <c r="C10" s="195"/>
      <c r="D10" s="195"/>
      <c r="E10" s="199"/>
      <c r="F10" s="195" t="n">
        <f t="shared" si="0"/>
        <v>0.0</v>
      </c>
      <c r="G10" s="195" t="n">
        <f t="shared" si="1"/>
        <v>0.0</v>
      </c>
      <c r="H10" s="4"/>
      <c r="I10" s="4"/>
      <c r="J10" s="4"/>
      <c r="K10" s="4"/>
      <c r="L10" s="4"/>
      <c r="M10" s="4"/>
      <c r="N10" s="4"/>
      <c r="O10" s="2"/>
    </row>
    <row r="11" spans="1:15" s="68" customFormat="1" hidden="1" outlineLevel="1" x14ac:dyDescent="0.25">
      <c r="B11" s="197" t="s">
        <v>44</v>
      </c>
      <c r="C11" s="195"/>
      <c r="D11" s="195"/>
      <c r="E11" s="199"/>
      <c r="F11" s="195" t="n">
        <f t="shared" si="0"/>
        <v>0.0</v>
      </c>
      <c r="G11" s="195" t="n">
        <f t="shared" si="1"/>
        <v>0.0</v>
      </c>
      <c r="H11" s="4"/>
      <c r="I11" s="4"/>
      <c r="J11" s="4"/>
      <c r="K11" s="4"/>
      <c r="L11" s="4"/>
      <c r="M11" s="4"/>
      <c r="N11" s="4"/>
      <c r="O11" s="2"/>
    </row>
    <row r="12" spans="1:15" s="68" customFormat="1" hidden="1" outlineLevel="1" x14ac:dyDescent="0.25">
      <c r="B12" s="197" t="s">
        <v>45</v>
      </c>
      <c r="C12" s="195"/>
      <c r="D12" s="195"/>
      <c r="E12" s="199"/>
      <c r="F12" s="195" t="n">
        <f t="shared" si="0"/>
        <v>0.0</v>
      </c>
      <c r="G12" s="195" t="n">
        <f t="shared" si="1"/>
        <v>0.0</v>
      </c>
      <c r="H12" s="4"/>
      <c r="I12" s="4"/>
      <c r="J12" s="4"/>
      <c r="K12" s="4"/>
      <c r="L12" s="4"/>
      <c r="M12" s="4"/>
      <c r="N12" s="4"/>
      <c r="O12" s="2"/>
    </row>
    <row r="13" spans="1:15" s="68" customFormat="1" hidden="1" outlineLevel="1" x14ac:dyDescent="0.25">
      <c r="B13" s="197" t="s">
        <v>46</v>
      </c>
      <c r="C13" s="195"/>
      <c r="D13" s="195"/>
      <c r="E13" s="199"/>
      <c r="F13" s="195" t="n">
        <f t="shared" si="0"/>
        <v>0.0</v>
      </c>
      <c r="G13" s="195" t="n">
        <f t="shared" si="1"/>
        <v>0.0</v>
      </c>
      <c r="H13" s="4"/>
      <c r="I13" s="4"/>
      <c r="J13" s="4"/>
      <c r="K13" s="4"/>
      <c r="L13" s="4"/>
      <c r="M13" s="4"/>
      <c r="N13" s="4"/>
      <c r="O13" s="2"/>
    </row>
    <row r="14" spans="1:15" s="68" customFormat="1" ht="15" customHeight="1" collapsed="1" thickTop="1" x14ac:dyDescent="0.25">
      <c r="B14" s="198" t="s">
        <v>47</v>
      </c>
      <c r="C14" s="196" t="n">
        <f>SUBTOTAL(9,C8:C13)</f>
        <v>0.0</v>
      </c>
      <c r="D14" s="196" t="n">
        <f>SUBTOTAL(9,D8:D13)</f>
        <v>0.0</v>
      </c>
      <c r="E14" s="200"/>
      <c r="F14" s="196" t="n">
        <f>SUBTOTAL(9,F8:F13)</f>
        <v>0.0</v>
      </c>
      <c r="G14" s="196" t="n">
        <f t="shared" si="1"/>
        <v>0.0</v>
      </c>
      <c r="H14" s="4"/>
      <c r="I14" s="4"/>
      <c r="J14" s="4"/>
      <c r="K14" s="4"/>
      <c r="L14" s="4"/>
      <c r="M14" s="4"/>
      <c r="N14" s="4"/>
      <c r="O14" s="2"/>
    </row>
    <row r="15" spans="1:15" s="68" customFormat="1" ht="15" hidden="1" customHeight="1" outlineLevel="1" x14ac:dyDescent="0.25">
      <c r="B15" s="197" t="s">
        <v>48</v>
      </c>
      <c r="C15" s="195"/>
      <c r="D15" s="195"/>
      <c r="E15" s="199"/>
      <c r="F15" s="195" t="n">
        <f t="shared" ref="F15:F24" si="2">C15-D15</f>
        <v>0.0</v>
      </c>
      <c r="G15" s="195" t="n">
        <f t="shared" si="1"/>
        <v>0.0</v>
      </c>
      <c r="H15" s="4"/>
      <c r="I15" s="4"/>
      <c r="J15" s="4"/>
      <c r="K15" s="4"/>
      <c r="L15" s="4"/>
      <c r="M15" s="4"/>
      <c r="N15" s="4"/>
      <c r="O15" s="2"/>
    </row>
    <row r="16" spans="1:15" s="68" customFormat="1" ht="15" hidden="1" customHeight="1" outlineLevel="1" x14ac:dyDescent="0.25">
      <c r="B16" s="197" t="s">
        <v>49</v>
      </c>
      <c r="C16" s="195"/>
      <c r="D16" s="195"/>
      <c r="E16" s="199"/>
      <c r="F16" s="195" t="n">
        <f t="shared" si="2"/>
        <v>0.0</v>
      </c>
      <c r="G16" s="195" t="n">
        <f t="shared" si="1"/>
        <v>0.0</v>
      </c>
      <c r="H16" s="4"/>
      <c r="I16" s="4"/>
      <c r="J16" s="4"/>
      <c r="K16" s="4"/>
      <c r="L16" s="4"/>
      <c r="M16" s="4"/>
      <c r="N16" s="4"/>
      <c r="O16" s="2"/>
    </row>
    <row r="17" spans="2:15" s="68" customFormat="1" ht="15" hidden="1" customHeight="1" outlineLevel="1" x14ac:dyDescent="0.25">
      <c r="B17" s="197" t="s">
        <v>50</v>
      </c>
      <c r="C17" s="195"/>
      <c r="D17" s="195"/>
      <c r="E17" s="199"/>
      <c r="F17" s="195" t="n">
        <f t="shared" si="2"/>
        <v>0.0</v>
      </c>
      <c r="G17" s="195" t="n">
        <f t="shared" si="1"/>
        <v>0.0</v>
      </c>
      <c r="H17" s="4"/>
      <c r="I17" s="4"/>
      <c r="J17" s="4"/>
      <c r="K17" s="4"/>
      <c r="L17" s="4"/>
      <c r="M17" s="4"/>
      <c r="N17" s="4"/>
      <c r="O17" s="2"/>
    </row>
    <row r="18" spans="2:15" s="69" customFormat="1" ht="15" hidden="1" customHeight="1" outlineLevel="1" x14ac:dyDescent="0.25">
      <c r="B18" s="197" t="s">
        <v>51</v>
      </c>
      <c r="C18" s="195"/>
      <c r="D18" s="195"/>
      <c r="E18" s="199"/>
      <c r="F18" s="195" t="n">
        <f t="shared" si="2"/>
        <v>0.0</v>
      </c>
      <c r="G18" s="195" t="n">
        <f t="shared" si="1"/>
        <v>0.0</v>
      </c>
      <c r="H18" s="4"/>
      <c r="I18" s="4"/>
      <c r="J18" s="4"/>
      <c r="K18" s="4"/>
      <c r="L18" s="4"/>
      <c r="M18" s="4"/>
      <c r="N18" s="4"/>
      <c r="O18" s="2"/>
    </row>
    <row r="19" spans="2:15" s="68" customFormat="1" ht="15" hidden="1" customHeight="1" outlineLevel="1" x14ac:dyDescent="0.25">
      <c r="B19" s="197" t="s">
        <v>52</v>
      </c>
      <c r="C19" s="195"/>
      <c r="D19" s="195"/>
      <c r="E19" s="199"/>
      <c r="F19" s="195" t="n">
        <f t="shared" si="2"/>
        <v>0.0</v>
      </c>
      <c r="G19" s="195" t="n">
        <f t="shared" si="1"/>
        <v>0.0</v>
      </c>
      <c r="H19" s="4"/>
      <c r="I19" s="4"/>
      <c r="J19" s="4"/>
      <c r="K19" s="4"/>
      <c r="L19" s="4"/>
      <c r="M19" s="4"/>
      <c r="N19" s="4"/>
      <c r="O19" s="2"/>
    </row>
    <row r="20" spans="2:15" s="68" customFormat="1" ht="15" hidden="1" customHeight="1" outlineLevel="1" x14ac:dyDescent="0.25">
      <c r="B20" s="197" t="s">
        <v>53</v>
      </c>
      <c r="C20" s="195" t="n">
        <v>2.064784215E7</v>
      </c>
      <c r="D20" s="195" t="n">
        <v>2.064784215E7</v>
      </c>
      <c r="E20" s="199"/>
      <c r="F20" s="195" t="n">
        <f t="shared" si="2"/>
        <v>0.0</v>
      </c>
      <c r="G20" s="195" t="n">
        <f t="shared" si="1"/>
        <v>0.0</v>
      </c>
      <c r="H20" s="4"/>
      <c r="I20" s="4"/>
      <c r="J20" s="4"/>
      <c r="K20" s="4"/>
      <c r="L20" s="4"/>
      <c r="M20" s="4"/>
      <c r="N20" s="4"/>
      <c r="O20" s="2"/>
    </row>
    <row r="21" spans="2:15" s="68" customFormat="1" ht="15" hidden="1" customHeight="1" outlineLevel="1" x14ac:dyDescent="0.25">
      <c r="B21" s="197" t="s">
        <v>54</v>
      </c>
      <c r="C21" s="195" t="n">
        <v>174000.0</v>
      </c>
      <c r="D21" s="195" t="n">
        <v>174000.0</v>
      </c>
      <c r="E21" s="199"/>
      <c r="F21" s="195" t="n">
        <f t="shared" si="2"/>
        <v>0.0</v>
      </c>
      <c r="G21" s="195" t="n">
        <f t="shared" si="1"/>
        <v>0.0</v>
      </c>
      <c r="H21" s="4"/>
      <c r="I21" s="4"/>
      <c r="J21" s="4"/>
      <c r="K21" s="4"/>
      <c r="L21" s="4"/>
      <c r="M21" s="4"/>
      <c r="N21" s="4"/>
      <c r="O21" s="2"/>
    </row>
    <row r="22" spans="2:15" s="68" customFormat="1" ht="15" hidden="1" customHeight="1" outlineLevel="1" x14ac:dyDescent="0.25">
      <c r="B22" s="197" t="s">
        <v>37</v>
      </c>
      <c r="C22" s="195"/>
      <c r="D22" s="195"/>
      <c r="E22" s="199"/>
      <c r="F22" s="195" t="n">
        <f t="shared" si="2"/>
        <v>0.0</v>
      </c>
      <c r="G22" s="195" t="n">
        <f t="shared" si="1"/>
        <v>0.0</v>
      </c>
      <c r="H22" s="4"/>
      <c r="I22" s="4"/>
      <c r="J22" s="4"/>
      <c r="K22" s="4"/>
      <c r="L22" s="4"/>
      <c r="M22" s="4"/>
      <c r="N22" s="4"/>
      <c r="O22" s="2"/>
    </row>
    <row r="23" spans="2:15" s="68" customFormat="1" ht="15" hidden="1" customHeight="1" outlineLevel="1" x14ac:dyDescent="0.25">
      <c r="B23" s="197" t="s">
        <v>55</v>
      </c>
      <c r="C23" s="195"/>
      <c r="D23" s="195"/>
      <c r="E23" s="199"/>
      <c r="F23" s="195" t="n">
        <f t="shared" si="2"/>
        <v>0.0</v>
      </c>
      <c r="G23" s="195" t="n">
        <f t="shared" si="1"/>
        <v>0.0</v>
      </c>
      <c r="H23" s="4"/>
      <c r="I23" s="4"/>
      <c r="J23" s="4"/>
      <c r="K23" s="4"/>
      <c r="L23" s="4"/>
      <c r="M23" s="4"/>
      <c r="N23" s="4"/>
      <c r="O23" s="2"/>
    </row>
    <row r="24" spans="2:15" s="68" customFormat="1" ht="15" hidden="1" customHeight="1" outlineLevel="1" x14ac:dyDescent="0.25">
      <c r="B24" s="197" t="s">
        <v>56</v>
      </c>
      <c r="C24" s="195"/>
      <c r="D24" s="195"/>
      <c r="E24" s="199"/>
      <c r="F24" s="195" t="n">
        <f t="shared" si="2"/>
        <v>0.0</v>
      </c>
      <c r="G24" s="195" t="n">
        <f t="shared" si="1"/>
        <v>0.0</v>
      </c>
      <c r="H24" s="4"/>
      <c r="I24" s="4"/>
      <c r="J24" s="4"/>
      <c r="K24" s="4"/>
      <c r="L24" s="4"/>
      <c r="M24" s="4"/>
      <c r="N24" s="4"/>
      <c r="O24" s="2"/>
    </row>
    <row r="25" spans="2:15" s="68" customFormat="1" ht="15" customHeight="1" collapsed="1" x14ac:dyDescent="0.25">
      <c r="B25" s="198" t="s">
        <v>57</v>
      </c>
      <c r="C25" s="196" t="n">
        <f>SUBTOTAL(9,C15:C24)</f>
        <v>2.082184215E7</v>
      </c>
      <c r="D25" s="196" t="n">
        <f>SUBTOTAL(9,D15:D24)</f>
        <v>2.082184215E7</v>
      </c>
      <c r="E25" s="200"/>
      <c r="F25" s="196" t="n">
        <f>SUBTOTAL(9,F15:F24)</f>
        <v>0.0</v>
      </c>
      <c r="G25" s="196" t="n">
        <f t="shared" si="1"/>
        <v>0.0</v>
      </c>
      <c r="H25" s="4"/>
      <c r="I25" s="4"/>
      <c r="J25" s="4"/>
      <c r="K25" s="4"/>
      <c r="L25" s="4"/>
      <c r="M25" s="4"/>
      <c r="N25" s="4"/>
      <c r="O25" s="2"/>
    </row>
    <row r="26" spans="2:15" s="68" customFormat="1" ht="15" hidden="1" customHeight="1" outlineLevel="1" x14ac:dyDescent="0.25">
      <c r="B26" s="197" t="s">
        <v>139</v>
      </c>
      <c r="C26" s="195"/>
      <c r="D26" s="195"/>
      <c r="E26" s="199"/>
      <c r="F26" s="195" t="n">
        <f t="shared" ref="F26:F57" si="3">C26-D26</f>
        <v>0.0</v>
      </c>
      <c r="G26" s="195" t="n">
        <f t="shared" si="1"/>
        <v>0.0</v>
      </c>
      <c r="H26" s="4"/>
      <c r="I26" s="4"/>
      <c r="J26" s="4"/>
      <c r="K26" s="4"/>
      <c r="L26" s="4"/>
      <c r="M26" s="4"/>
      <c r="N26" s="4"/>
      <c r="O26" s="2"/>
    </row>
    <row r="27" spans="2:15" s="68" customFormat="1" ht="15" hidden="1" customHeight="1" outlineLevel="1" x14ac:dyDescent="0.25">
      <c r="B27" s="197" t="s">
        <v>140</v>
      </c>
      <c r="C27" s="195"/>
      <c r="D27" s="195"/>
      <c r="E27" s="199"/>
      <c r="F27" s="195" t="n">
        <f t="shared" si="3"/>
        <v>0.0</v>
      </c>
      <c r="G27" s="195" t="n">
        <f t="shared" si="1"/>
        <v>0.0</v>
      </c>
      <c r="H27" s="4"/>
      <c r="I27" s="4"/>
      <c r="J27" s="4"/>
      <c r="K27" s="4"/>
      <c r="L27" s="4"/>
      <c r="M27" s="4"/>
      <c r="N27" s="4"/>
      <c r="O27" s="2"/>
    </row>
    <row r="28" spans="2:15" s="68" customFormat="1" ht="15" hidden="1" customHeight="1" outlineLevel="1" x14ac:dyDescent="0.25">
      <c r="B28" s="197" t="s">
        <v>58</v>
      </c>
      <c r="C28" s="195"/>
      <c r="D28" s="195"/>
      <c r="E28" s="199"/>
      <c r="F28" s="195" t="n">
        <f t="shared" si="3"/>
        <v>0.0</v>
      </c>
      <c r="G28" s="195" t="n">
        <f t="shared" si="1"/>
        <v>0.0</v>
      </c>
      <c r="H28" s="4"/>
      <c r="I28" s="4"/>
      <c r="J28" s="4"/>
      <c r="K28" s="4"/>
      <c r="L28" s="4"/>
      <c r="M28" s="4"/>
      <c r="N28" s="4"/>
      <c r="O28" s="2"/>
    </row>
    <row r="29" spans="2:15" s="68" customFormat="1" ht="15" hidden="1" customHeight="1" outlineLevel="1" x14ac:dyDescent="0.25">
      <c r="B29" s="197" t="s">
        <v>59</v>
      </c>
      <c r="C29" s="195"/>
      <c r="D29" s="195"/>
      <c r="E29" s="199"/>
      <c r="F29" s="195" t="n">
        <f t="shared" si="3"/>
        <v>0.0</v>
      </c>
      <c r="G29" s="195" t="n">
        <f t="shared" si="1"/>
        <v>0.0</v>
      </c>
      <c r="H29" s="4"/>
      <c r="I29" s="4"/>
      <c r="J29" s="4"/>
      <c r="K29" s="4"/>
      <c r="L29" s="4"/>
      <c r="M29" s="4"/>
      <c r="N29" s="4"/>
      <c r="O29" s="2"/>
    </row>
    <row r="30" spans="2:15" s="68" customFormat="1" ht="15" hidden="1" customHeight="1" outlineLevel="1" x14ac:dyDescent="0.25">
      <c r="B30" s="197" t="s">
        <v>60</v>
      </c>
      <c r="C30" s="195"/>
      <c r="D30" s="195"/>
      <c r="E30" s="199"/>
      <c r="F30" s="195" t="n">
        <f t="shared" si="3"/>
        <v>0.0</v>
      </c>
      <c r="G30" s="195" t="n">
        <f t="shared" si="1"/>
        <v>0.0</v>
      </c>
      <c r="H30" s="4"/>
      <c r="I30" s="4"/>
      <c r="J30" s="4"/>
      <c r="K30" s="4"/>
      <c r="L30" s="4"/>
      <c r="M30" s="4"/>
      <c r="N30" s="4"/>
      <c r="O30" s="2"/>
    </row>
    <row r="31" spans="2:15" s="68" customFormat="1" ht="15" hidden="1" customHeight="1" outlineLevel="1" x14ac:dyDescent="0.25">
      <c r="B31" s="197" t="s">
        <v>61</v>
      </c>
      <c r="C31" s="195"/>
      <c r="D31" s="195"/>
      <c r="E31" s="199"/>
      <c r="F31" s="195" t="n">
        <f t="shared" si="3"/>
        <v>0.0</v>
      </c>
      <c r="G31" s="195" t="n">
        <f t="shared" si="1"/>
        <v>0.0</v>
      </c>
      <c r="H31" s="4"/>
      <c r="I31" s="4"/>
      <c r="J31" s="4"/>
      <c r="K31" s="4"/>
      <c r="L31" s="4"/>
      <c r="M31" s="4"/>
      <c r="N31" s="4"/>
      <c r="O31" s="2"/>
    </row>
    <row r="32" spans="2:15" s="68" customFormat="1" ht="15" hidden="1" customHeight="1" outlineLevel="1" x14ac:dyDescent="0.25">
      <c r="B32" s="197" t="s">
        <v>62</v>
      </c>
      <c r="C32" s="195"/>
      <c r="D32" s="195"/>
      <c r="E32" s="199"/>
      <c r="F32" s="195" t="n">
        <f t="shared" si="3"/>
        <v>0.0</v>
      </c>
      <c r="G32" s="195" t="n">
        <f t="shared" si="1"/>
        <v>0.0</v>
      </c>
      <c r="H32" s="4"/>
      <c r="I32" s="4"/>
      <c r="J32" s="4"/>
      <c r="K32" s="4"/>
      <c r="L32" s="4"/>
      <c r="M32" s="4"/>
      <c r="N32" s="4"/>
      <c r="O32" s="2"/>
    </row>
    <row r="33" spans="2:15" s="68" customFormat="1" ht="15" hidden="1" customHeight="1" outlineLevel="1" x14ac:dyDescent="0.25">
      <c r="B33" s="197" t="s">
        <v>63</v>
      </c>
      <c r="C33" s="195"/>
      <c r="D33" s="195"/>
      <c r="E33" s="199"/>
      <c r="F33" s="195" t="n">
        <f t="shared" si="3"/>
        <v>0.0</v>
      </c>
      <c r="G33" s="195" t="n">
        <f t="shared" si="1"/>
        <v>0.0</v>
      </c>
      <c r="H33" s="4"/>
      <c r="I33" s="4"/>
      <c r="J33" s="4"/>
      <c r="K33" s="4"/>
      <c r="L33" s="4"/>
      <c r="M33" s="4"/>
      <c r="N33" s="4"/>
      <c r="O33" s="2"/>
    </row>
    <row r="34" spans="2:15" s="68" customFormat="1" ht="15" hidden="1" customHeight="1" outlineLevel="1" x14ac:dyDescent="0.25">
      <c r="B34" s="197" t="s">
        <v>64</v>
      </c>
      <c r="C34" s="195"/>
      <c r="D34" s="195"/>
      <c r="E34" s="199"/>
      <c r="F34" s="195" t="n">
        <f t="shared" si="3"/>
        <v>0.0</v>
      </c>
      <c r="G34" s="195" t="n">
        <f t="shared" si="1"/>
        <v>0.0</v>
      </c>
      <c r="H34" s="4"/>
      <c r="I34" s="4"/>
      <c r="J34" s="4"/>
      <c r="K34" s="4"/>
      <c r="L34" s="4"/>
      <c r="M34" s="4"/>
      <c r="N34" s="4"/>
      <c r="O34" s="2"/>
    </row>
    <row r="35" spans="2:15" s="68" customFormat="1" ht="15" hidden="1" customHeight="1" outlineLevel="1" x14ac:dyDescent="0.25">
      <c r="B35" s="197" t="s">
        <v>65</v>
      </c>
      <c r="C35" s="195"/>
      <c r="D35" s="195"/>
      <c r="E35" s="199"/>
      <c r="F35" s="195" t="n">
        <f t="shared" si="3"/>
        <v>0.0</v>
      </c>
      <c r="G35" s="195" t="n">
        <f t="shared" si="1"/>
        <v>0.0</v>
      </c>
      <c r="H35" s="4"/>
      <c r="I35" s="4"/>
      <c r="J35" s="4"/>
      <c r="K35" s="4"/>
      <c r="L35" s="4"/>
      <c r="M35" s="4"/>
      <c r="N35" s="4"/>
      <c r="O35" s="2"/>
    </row>
    <row r="36" spans="2:15" s="68" customFormat="1" ht="15" hidden="1" customHeight="1" outlineLevel="1" x14ac:dyDescent="0.25">
      <c r="B36" s="197" t="s">
        <v>66</v>
      </c>
      <c r="C36" s="195"/>
      <c r="D36" s="195"/>
      <c r="E36" s="199"/>
      <c r="F36" s="195" t="n">
        <f t="shared" si="3"/>
        <v>0.0</v>
      </c>
      <c r="G36" s="195" t="n">
        <f t="shared" si="1"/>
        <v>0.0</v>
      </c>
      <c r="H36" s="4"/>
      <c r="I36" s="4"/>
      <c r="J36" s="4"/>
      <c r="K36" s="4"/>
      <c r="L36" s="4"/>
      <c r="M36" s="4"/>
      <c r="N36" s="4"/>
      <c r="O36" s="2"/>
    </row>
    <row r="37" spans="2:15" s="68" customFormat="1" ht="15" hidden="1" customHeight="1" outlineLevel="1" x14ac:dyDescent="0.25">
      <c r="B37" s="197" t="s">
        <v>67</v>
      </c>
      <c r="C37" s="195"/>
      <c r="D37" s="195"/>
      <c r="E37" s="199"/>
      <c r="F37" s="195" t="n">
        <f t="shared" si="3"/>
        <v>0.0</v>
      </c>
      <c r="G37" s="195" t="n">
        <f t="shared" si="1"/>
        <v>0.0</v>
      </c>
      <c r="H37" s="4"/>
      <c r="I37" s="4"/>
      <c r="J37" s="4"/>
      <c r="K37" s="4"/>
      <c r="L37" s="4"/>
      <c r="M37" s="4"/>
      <c r="N37" s="4"/>
      <c r="O37" s="2"/>
    </row>
    <row r="38" spans="2:15" s="68" customFormat="1" ht="15" hidden="1" customHeight="1" outlineLevel="1" x14ac:dyDescent="0.25">
      <c r="B38" s="197" t="s">
        <v>68</v>
      </c>
      <c r="C38" s="195"/>
      <c r="D38" s="195"/>
      <c r="E38" s="199"/>
      <c r="F38" s="195" t="n">
        <f t="shared" si="3"/>
        <v>0.0</v>
      </c>
      <c r="G38" s="195" t="n">
        <f t="shared" si="1"/>
        <v>0.0</v>
      </c>
      <c r="H38" s="4"/>
      <c r="I38" s="4"/>
      <c r="J38" s="4"/>
      <c r="K38" s="4"/>
      <c r="L38" s="4"/>
      <c r="M38" s="4"/>
      <c r="N38" s="4"/>
      <c r="O38" s="2"/>
    </row>
    <row r="39" spans="2:15" s="68" customFormat="1" ht="15" hidden="1" customHeight="1" outlineLevel="1" x14ac:dyDescent="0.25">
      <c r="B39" s="197" t="s">
        <v>69</v>
      </c>
      <c r="C39" s="195" t="n">
        <v>-1.396049909E7</v>
      </c>
      <c r="D39" s="195" t="n">
        <v>-1.396049909E7</v>
      </c>
      <c r="E39" s="199"/>
      <c r="F39" s="195" t="n">
        <f t="shared" si="3"/>
        <v>0.0</v>
      </c>
      <c r="G39" s="195" t="n">
        <f t="shared" si="1"/>
        <v>0.0</v>
      </c>
      <c r="H39" s="4"/>
      <c r="I39" s="4"/>
      <c r="J39" s="4"/>
      <c r="K39" s="4"/>
      <c r="L39" s="4"/>
      <c r="M39" s="4"/>
      <c r="N39" s="4"/>
      <c r="O39" s="2"/>
    </row>
    <row r="40" spans="2:15" s="68" customFormat="1" ht="15" hidden="1" customHeight="1" outlineLevel="1" x14ac:dyDescent="0.25">
      <c r="B40" s="197" t="s">
        <v>70</v>
      </c>
      <c r="C40" s="195" t="n">
        <v>-504827.45</v>
      </c>
      <c r="D40" s="195" t="n">
        <v>-504827.45</v>
      </c>
      <c r="E40" s="199"/>
      <c r="F40" s="195" t="n">
        <f t="shared" si="3"/>
        <v>0.0</v>
      </c>
      <c r="G40" s="195" t="n">
        <f t="shared" ref="G40:G71" si="4">IF(D40=0, 0, (C40-D40)/ABS(D40))</f>
        <v>0.0</v>
      </c>
      <c r="H40" s="4"/>
      <c r="I40" s="4"/>
      <c r="J40" s="4"/>
      <c r="K40" s="4"/>
      <c r="L40" s="4"/>
      <c r="M40" s="4"/>
      <c r="N40" s="4"/>
      <c r="O40" s="2"/>
    </row>
    <row r="41" spans="2:15" s="68" customFormat="1" ht="15" hidden="1" customHeight="1" outlineLevel="1" x14ac:dyDescent="0.25">
      <c r="B41" s="197" t="s">
        <v>118</v>
      </c>
      <c r="C41" s="195" t="n">
        <v>-1935000.0</v>
      </c>
      <c r="D41" s="195" t="n">
        <v>-1935000.0</v>
      </c>
      <c r="E41" s="199"/>
      <c r="F41" s="195" t="n">
        <f t="shared" si="3"/>
        <v>0.0</v>
      </c>
      <c r="G41" s="195" t="n">
        <f t="shared" si="4"/>
        <v>0.0</v>
      </c>
      <c r="H41" s="4"/>
      <c r="I41" s="4"/>
      <c r="J41" s="4"/>
      <c r="K41" s="4"/>
      <c r="L41" s="4"/>
      <c r="M41" s="4"/>
      <c r="N41" s="4"/>
      <c r="O41" s="2"/>
    </row>
    <row r="42" spans="2:15" s="68" customFormat="1" ht="15" hidden="1" customHeight="1" outlineLevel="1" x14ac:dyDescent="0.25">
      <c r="B42" s="197" t="s">
        <v>71</v>
      </c>
      <c r="C42" s="195" t="n">
        <v>-733480.37</v>
      </c>
      <c r="D42" s="195" t="n">
        <v>-733480.37</v>
      </c>
      <c r="E42" s="199"/>
      <c r="F42" s="195" t="n">
        <f t="shared" si="3"/>
        <v>0.0</v>
      </c>
      <c r="G42" s="195" t="n">
        <f t="shared" si="4"/>
        <v>0.0</v>
      </c>
      <c r="H42" s="4"/>
      <c r="I42" s="4"/>
      <c r="J42" s="4"/>
      <c r="K42" s="4"/>
      <c r="L42" s="4"/>
      <c r="M42" s="4"/>
      <c r="N42" s="4"/>
      <c r="O42" s="2"/>
    </row>
    <row r="43" spans="2:15" s="68" customFormat="1" ht="15" hidden="1" customHeight="1" outlineLevel="1" x14ac:dyDescent="0.25">
      <c r="B43" s="197" t="s">
        <v>72</v>
      </c>
      <c r="C43" s="195"/>
      <c r="D43" s="195"/>
      <c r="E43" s="199"/>
      <c r="F43" s="195" t="n">
        <f t="shared" si="3"/>
        <v>0.0</v>
      </c>
      <c r="G43" s="195" t="n">
        <f t="shared" si="4"/>
        <v>0.0</v>
      </c>
      <c r="H43" s="4"/>
      <c r="I43" s="4"/>
      <c r="J43" s="4"/>
      <c r="K43" s="4"/>
      <c r="L43" s="4"/>
      <c r="M43" s="4"/>
      <c r="N43" s="4"/>
      <c r="O43" s="2"/>
    </row>
    <row r="44" spans="2:15" s="68" customFormat="1" ht="15" hidden="1" customHeight="1" outlineLevel="1" x14ac:dyDescent="0.25">
      <c r="B44" s="197" t="s">
        <v>1</v>
      </c>
      <c r="C44" s="195" t="n">
        <v>-2672.84</v>
      </c>
      <c r="D44" s="195" t="n">
        <v>-2672.84</v>
      </c>
      <c r="E44" s="199"/>
      <c r="F44" s="195" t="n">
        <f t="shared" si="3"/>
        <v>0.0</v>
      </c>
      <c r="G44" s="195" t="n">
        <f t="shared" si="4"/>
        <v>0.0</v>
      </c>
      <c r="H44" s="4"/>
      <c r="I44" s="4"/>
      <c r="J44" s="4"/>
      <c r="K44" s="4"/>
      <c r="L44" s="4"/>
      <c r="M44" s="4"/>
      <c r="N44" s="4"/>
      <c r="O44" s="2"/>
    </row>
    <row r="45" spans="2:15" s="68" customFormat="1" ht="15" hidden="1" customHeight="1" outlineLevel="1" x14ac:dyDescent="0.25">
      <c r="B45" s="197" t="s">
        <v>38</v>
      </c>
      <c r="C45" s="195"/>
      <c r="D45" s="195"/>
      <c r="E45" s="199"/>
      <c r="F45" s="195" t="n">
        <f t="shared" si="3"/>
        <v>0.0</v>
      </c>
      <c r="G45" s="195" t="n">
        <f t="shared" si="4"/>
        <v>0.0</v>
      </c>
      <c r="H45" s="4"/>
      <c r="I45" s="4"/>
      <c r="J45" s="4"/>
      <c r="K45" s="4"/>
      <c r="L45" s="4"/>
      <c r="M45" s="4"/>
      <c r="N45" s="4"/>
      <c r="O45" s="2"/>
    </row>
    <row r="46" spans="2:15" s="68" customFormat="1" ht="15" hidden="1" customHeight="1" outlineLevel="1" x14ac:dyDescent="0.25">
      <c r="B46" s="197" t="s">
        <v>2</v>
      </c>
      <c r="C46" s="195" t="n">
        <v>-349460.0</v>
      </c>
      <c r="D46" s="195" t="n">
        <v>-349460.0</v>
      </c>
      <c r="E46" s="199"/>
      <c r="F46" s="195" t="n">
        <f t="shared" si="3"/>
        <v>0.0</v>
      </c>
      <c r="G46" s="195" t="n">
        <f t="shared" si="4"/>
        <v>0.0</v>
      </c>
      <c r="H46" s="4"/>
      <c r="I46" s="4"/>
      <c r="J46" s="4"/>
      <c r="K46" s="4"/>
      <c r="L46" s="4"/>
      <c r="M46" s="4"/>
      <c r="N46" s="4"/>
      <c r="O46" s="2"/>
    </row>
    <row r="47" spans="2:15" s="68" customFormat="1" ht="15" hidden="1" customHeight="1" outlineLevel="1" x14ac:dyDescent="0.25">
      <c r="B47" s="197" t="s">
        <v>73</v>
      </c>
      <c r="C47" s="195" t="n">
        <v>-43682.5</v>
      </c>
      <c r="D47" s="195" t="n">
        <v>-43682.5</v>
      </c>
      <c r="E47" s="199"/>
      <c r="F47" s="195" t="n">
        <f t="shared" si="3"/>
        <v>0.0</v>
      </c>
      <c r="G47" s="195" t="n">
        <f t="shared" si="4"/>
        <v>0.0</v>
      </c>
      <c r="H47" s="4"/>
      <c r="I47" s="4"/>
      <c r="J47" s="4"/>
      <c r="K47" s="4"/>
      <c r="L47" s="4"/>
      <c r="M47" s="4"/>
      <c r="N47" s="4"/>
      <c r="O47" s="2"/>
    </row>
    <row r="48" spans="2:15" s="68" customFormat="1" ht="15" hidden="1" customHeight="1" outlineLevel="1" x14ac:dyDescent="0.25">
      <c r="B48" s="197" t="s">
        <v>74</v>
      </c>
      <c r="C48" s="195" t="n">
        <v>-17473.0</v>
      </c>
      <c r="D48" s="195" t="n">
        <v>-17473.0</v>
      </c>
      <c r="E48" s="199"/>
      <c r="F48" s="195" t="n">
        <f t="shared" si="3"/>
        <v>0.0</v>
      </c>
      <c r="G48" s="195" t="n">
        <f t="shared" si="4"/>
        <v>0.0</v>
      </c>
      <c r="H48" s="4"/>
      <c r="I48" s="4"/>
      <c r="J48" s="4"/>
      <c r="K48" s="4"/>
      <c r="L48" s="4"/>
      <c r="M48" s="4"/>
      <c r="N48" s="4"/>
      <c r="O48" s="2"/>
    </row>
    <row r="49" spans="2:15" s="68" customFormat="1" ht="15" hidden="1" customHeight="1" outlineLevel="1" x14ac:dyDescent="0.25">
      <c r="B49" s="197" t="s">
        <v>4</v>
      </c>
      <c r="C49" s="195" t="n">
        <v>-27195.45</v>
      </c>
      <c r="D49" s="195" t="n">
        <v>-27195.45</v>
      </c>
      <c r="E49" s="199"/>
      <c r="F49" s="195" t="n">
        <f t="shared" si="3"/>
        <v>0.0</v>
      </c>
      <c r="G49" s="195" t="n">
        <f t="shared" si="4"/>
        <v>0.0</v>
      </c>
      <c r="H49" s="4"/>
      <c r="I49" s="4"/>
      <c r="J49" s="4"/>
      <c r="K49" s="4"/>
      <c r="L49" s="4"/>
      <c r="M49" s="4"/>
      <c r="N49" s="4"/>
      <c r="O49" s="2"/>
    </row>
    <row r="50" spans="2:15" s="68" customFormat="1" ht="15" hidden="1" customHeight="1" outlineLevel="1" x14ac:dyDescent="0.25">
      <c r="B50" s="197" t="s">
        <v>5</v>
      </c>
      <c r="C50" s="195"/>
      <c r="D50" s="195"/>
      <c r="E50" s="199"/>
      <c r="F50" s="195" t="n">
        <f t="shared" si="3"/>
        <v>0.0</v>
      </c>
      <c r="G50" s="195" t="n">
        <f t="shared" si="4"/>
        <v>0.0</v>
      </c>
      <c r="H50" s="4"/>
      <c r="I50" s="4"/>
      <c r="J50" s="4"/>
      <c r="K50" s="4"/>
      <c r="L50" s="4"/>
      <c r="M50" s="4"/>
      <c r="N50" s="4"/>
      <c r="O50" s="2"/>
    </row>
    <row r="51" spans="2:15" s="68" customFormat="1" ht="15" hidden="1" customHeight="1" outlineLevel="1" x14ac:dyDescent="0.25">
      <c r="B51" s="197" t="s">
        <v>75</v>
      </c>
      <c r="C51" s="195"/>
      <c r="D51" s="195"/>
      <c r="E51" s="199"/>
      <c r="F51" s="195" t="n">
        <f t="shared" si="3"/>
        <v>0.0</v>
      </c>
      <c r="G51" s="195" t="n">
        <f t="shared" si="4"/>
        <v>0.0</v>
      </c>
      <c r="H51" s="4"/>
      <c r="I51" s="4"/>
      <c r="J51" s="4"/>
      <c r="K51" s="4"/>
      <c r="L51" s="4"/>
      <c r="M51" s="4"/>
      <c r="N51" s="4"/>
      <c r="O51" s="2"/>
    </row>
    <row r="52" spans="2:15" s="68" customFormat="1" ht="15" hidden="1" customHeight="1" outlineLevel="1" x14ac:dyDescent="0.25">
      <c r="B52" s="197" t="s">
        <v>141</v>
      </c>
      <c r="C52" s="195" t="n">
        <v>-9279.22</v>
      </c>
      <c r="D52" s="195" t="n">
        <v>-9279.22</v>
      </c>
      <c r="E52" s="199"/>
      <c r="F52" s="195" t="n">
        <f t="shared" si="3"/>
        <v>0.0</v>
      </c>
      <c r="G52" s="195" t="n">
        <f t="shared" si="4"/>
        <v>0.0</v>
      </c>
      <c r="H52" s="4"/>
      <c r="I52" s="4"/>
      <c r="J52" s="4"/>
      <c r="K52" s="4"/>
      <c r="L52" s="4"/>
      <c r="M52" s="4"/>
      <c r="N52" s="4"/>
      <c r="O52" s="2"/>
    </row>
    <row r="53" spans="2:15" s="68" customFormat="1" ht="15" hidden="1" customHeight="1" outlineLevel="1" x14ac:dyDescent="0.25">
      <c r="B53" s="197" t="s">
        <v>30</v>
      </c>
      <c r="C53" s="195" t="n">
        <v>-1294671.0</v>
      </c>
      <c r="D53" s="195" t="n">
        <v>-1294671.0</v>
      </c>
      <c r="E53" s="199"/>
      <c r="F53" s="195" t="n">
        <f t="shared" si="3"/>
        <v>0.0</v>
      </c>
      <c r="G53" s="195" t="n">
        <f t="shared" si="4"/>
        <v>0.0</v>
      </c>
      <c r="H53" s="4"/>
      <c r="I53" s="4"/>
      <c r="J53" s="4"/>
      <c r="K53" s="4"/>
      <c r="L53" s="4"/>
      <c r="M53" s="4"/>
      <c r="N53" s="4"/>
      <c r="O53" s="2"/>
    </row>
    <row r="54" spans="2:15" s="68" customFormat="1" ht="15" hidden="1" customHeight="1" outlineLevel="1" x14ac:dyDescent="0.25">
      <c r="B54" s="197" t="s">
        <v>6</v>
      </c>
      <c r="C54" s="195"/>
      <c r="D54" s="195"/>
      <c r="E54" s="199"/>
      <c r="F54" s="195" t="n">
        <f t="shared" si="3"/>
        <v>0.0</v>
      </c>
      <c r="G54" s="195" t="n">
        <f t="shared" si="4"/>
        <v>0.0</v>
      </c>
      <c r="H54" s="4"/>
      <c r="I54" s="4"/>
      <c r="J54" s="4"/>
      <c r="K54" s="4"/>
      <c r="L54" s="4"/>
      <c r="M54" s="4"/>
      <c r="N54" s="4"/>
      <c r="O54" s="2"/>
    </row>
    <row r="55" spans="2:15" s="68" customFormat="1" ht="15" hidden="1" customHeight="1" outlineLevel="1" x14ac:dyDescent="0.25">
      <c r="B55" s="197" t="s">
        <v>7</v>
      </c>
      <c r="C55" s="195" t="n">
        <v>-286280.49</v>
      </c>
      <c r="D55" s="195" t="n">
        <v>-286280.49</v>
      </c>
      <c r="E55" s="199"/>
      <c r="F55" s="195" t="n">
        <f t="shared" si="3"/>
        <v>0.0</v>
      </c>
      <c r="G55" s="195" t="n">
        <f t="shared" si="4"/>
        <v>0.0</v>
      </c>
      <c r="H55" s="4"/>
      <c r="I55" s="4"/>
      <c r="J55" s="4"/>
      <c r="K55" s="4"/>
      <c r="L55" s="4"/>
      <c r="M55" s="4"/>
      <c r="N55" s="4"/>
      <c r="O55" s="2"/>
    </row>
    <row r="56" spans="2:15" s="68" customFormat="1" ht="15" hidden="1" customHeight="1" outlineLevel="1" x14ac:dyDescent="0.25">
      <c r="B56" s="197" t="s">
        <v>3</v>
      </c>
      <c r="C56" s="195" t="n">
        <v>-4392.4</v>
      </c>
      <c r="D56" s="195" t="n">
        <v>-4392.4</v>
      </c>
      <c r="E56" s="199"/>
      <c r="F56" s="195" t="n">
        <f t="shared" si="3"/>
        <v>0.0</v>
      </c>
      <c r="G56" s="195" t="n">
        <f t="shared" si="4"/>
        <v>0.0</v>
      </c>
      <c r="H56" s="4"/>
      <c r="I56" s="4"/>
      <c r="J56" s="4"/>
      <c r="K56" s="4"/>
      <c r="L56" s="4"/>
      <c r="M56" s="4"/>
      <c r="N56" s="4"/>
      <c r="O56" s="2"/>
    </row>
    <row r="57" spans="2:15" s="68" customFormat="1" ht="15" hidden="1" customHeight="1" outlineLevel="1" x14ac:dyDescent="0.25">
      <c r="B57" s="197" t="s">
        <v>8</v>
      </c>
      <c r="C57" s="195" t="n">
        <v>-2797.05</v>
      </c>
      <c r="D57" s="195" t="n">
        <v>-2797.05</v>
      </c>
      <c r="E57" s="199"/>
      <c r="F57" s="195" t="n">
        <f t="shared" si="3"/>
        <v>0.0</v>
      </c>
      <c r="G57" s="195" t="n">
        <f t="shared" si="4"/>
        <v>0.0</v>
      </c>
      <c r="H57" s="4"/>
      <c r="I57" s="4"/>
      <c r="J57" s="4"/>
      <c r="K57" s="4"/>
      <c r="L57" s="4"/>
      <c r="M57" s="4"/>
      <c r="N57" s="4"/>
      <c r="O57" s="2"/>
    </row>
    <row r="58" spans="2:15" s="68" customFormat="1" ht="15" hidden="1" customHeight="1" outlineLevel="1" x14ac:dyDescent="0.25">
      <c r="B58" s="197" t="s">
        <v>9</v>
      </c>
      <c r="C58" s="195"/>
      <c r="D58" s="195"/>
      <c r="E58" s="199"/>
      <c r="F58" s="195" t="n">
        <f t="shared" ref="F58:F74" si="5">C58-D58</f>
        <v>0.0</v>
      </c>
      <c r="G58" s="195" t="n">
        <f t="shared" si="4"/>
        <v>0.0</v>
      </c>
      <c r="H58" s="4"/>
      <c r="I58" s="4"/>
      <c r="J58" s="4"/>
      <c r="K58" s="4"/>
      <c r="L58" s="4"/>
      <c r="M58" s="4"/>
      <c r="N58" s="4"/>
      <c r="O58" s="2"/>
    </row>
    <row r="59" spans="2:15" s="68" customFormat="1" ht="15" hidden="1" customHeight="1" outlineLevel="1" x14ac:dyDescent="0.25">
      <c r="B59" s="197" t="s">
        <v>76</v>
      </c>
      <c r="C59" s="195" t="n">
        <v>-1426702.43</v>
      </c>
      <c r="D59" s="195" t="n">
        <v>-1426702.43</v>
      </c>
      <c r="E59" s="199"/>
      <c r="F59" s="195" t="n">
        <f t="shared" si="5"/>
        <v>0.0</v>
      </c>
      <c r="G59" s="195" t="n">
        <f t="shared" si="4"/>
        <v>0.0</v>
      </c>
      <c r="H59" s="4"/>
      <c r="I59" s="4"/>
      <c r="J59" s="4"/>
      <c r="K59" s="4"/>
      <c r="L59" s="4"/>
      <c r="M59" s="4"/>
      <c r="N59" s="4"/>
      <c r="O59" s="2"/>
    </row>
    <row r="60" spans="2:15" s="68" customFormat="1" ht="15" hidden="1" customHeight="1" outlineLevel="1" x14ac:dyDescent="0.25">
      <c r="B60" s="197" t="s">
        <v>10</v>
      </c>
      <c r="C60" s="195" t="n">
        <v>-17134.65</v>
      </c>
      <c r="D60" s="195" t="n">
        <v>-17134.65</v>
      </c>
      <c r="E60" s="199"/>
      <c r="F60" s="195" t="n">
        <f t="shared" si="5"/>
        <v>0.0</v>
      </c>
      <c r="G60" s="195" t="n">
        <f t="shared" si="4"/>
        <v>0.0</v>
      </c>
      <c r="H60" s="4"/>
      <c r="I60" s="4"/>
      <c r="J60" s="4"/>
      <c r="K60" s="4"/>
      <c r="L60" s="4"/>
      <c r="M60" s="4"/>
      <c r="N60" s="4"/>
      <c r="O60" s="2"/>
    </row>
    <row r="61" spans="2:15" s="68" customFormat="1" ht="15" hidden="1" customHeight="1" outlineLevel="1" x14ac:dyDescent="0.25">
      <c r="B61" s="197" t="s">
        <v>11</v>
      </c>
      <c r="C61" s="195" t="n">
        <v>-5454.0</v>
      </c>
      <c r="D61" s="195" t="n">
        <v>-5454.0</v>
      </c>
      <c r="E61" s="199"/>
      <c r="F61" s="195" t="n">
        <f t="shared" si="5"/>
        <v>0.0</v>
      </c>
      <c r="G61" s="195" t="n">
        <f t="shared" si="4"/>
        <v>0.0</v>
      </c>
      <c r="H61" s="4"/>
      <c r="I61" s="4"/>
      <c r="J61" s="4"/>
      <c r="K61" s="4"/>
      <c r="L61" s="4"/>
      <c r="M61" s="4"/>
      <c r="N61" s="4"/>
      <c r="O61" s="2"/>
    </row>
    <row r="62" spans="2:15" s="68" customFormat="1" ht="15" hidden="1" customHeight="1" outlineLevel="1" x14ac:dyDescent="0.25">
      <c r="B62" s="197" t="s">
        <v>12</v>
      </c>
      <c r="C62" s="195" t="n">
        <v>-6726.6</v>
      </c>
      <c r="D62" s="195" t="n">
        <v>-6726.6</v>
      </c>
      <c r="E62" s="199"/>
      <c r="F62" s="195" t="n">
        <f t="shared" si="5"/>
        <v>0.0</v>
      </c>
      <c r="G62" s="195" t="n">
        <f t="shared" si="4"/>
        <v>0.0</v>
      </c>
      <c r="H62" s="4"/>
      <c r="I62" s="4"/>
      <c r="J62" s="4"/>
      <c r="K62" s="4"/>
      <c r="L62" s="4"/>
      <c r="M62" s="4"/>
      <c r="N62" s="4"/>
      <c r="O62" s="2"/>
    </row>
    <row r="63" spans="2:15" s="68" customFormat="1" ht="15" hidden="1" customHeight="1" outlineLevel="1" x14ac:dyDescent="0.25">
      <c r="B63" s="197" t="s">
        <v>13</v>
      </c>
      <c r="C63" s="195" t="n">
        <v>-19200.98</v>
      </c>
      <c r="D63" s="195" t="n">
        <v>-19200.98</v>
      </c>
      <c r="E63" s="199"/>
      <c r="F63" s="195" t="n">
        <f t="shared" si="5"/>
        <v>0.0</v>
      </c>
      <c r="G63" s="195" t="n">
        <f t="shared" si="4"/>
        <v>0.0</v>
      </c>
      <c r="H63" s="4"/>
      <c r="I63" s="4"/>
      <c r="J63" s="4"/>
      <c r="K63" s="4"/>
      <c r="L63" s="4"/>
      <c r="M63" s="4"/>
      <c r="N63" s="4"/>
      <c r="O63" s="2"/>
    </row>
    <row r="64" spans="2:15" s="68" customFormat="1" ht="15" hidden="1" customHeight="1" outlineLevel="1" x14ac:dyDescent="0.25">
      <c r="B64" s="197" t="s">
        <v>14</v>
      </c>
      <c r="C64" s="195" t="n">
        <v>-5908.5</v>
      </c>
      <c r="D64" s="195" t="n">
        <v>-5908.5</v>
      </c>
      <c r="E64" s="199"/>
      <c r="F64" s="195" t="n">
        <f t="shared" si="5"/>
        <v>0.0</v>
      </c>
      <c r="G64" s="195" t="n">
        <f t="shared" si="4"/>
        <v>0.0</v>
      </c>
      <c r="H64" s="4"/>
      <c r="I64" s="4"/>
      <c r="J64" s="4"/>
      <c r="K64" s="4"/>
      <c r="L64" s="4"/>
      <c r="M64" s="4"/>
      <c r="N64" s="4"/>
      <c r="O64" s="2"/>
    </row>
    <row r="65" spans="1:254" s="68" customFormat="1" ht="15" hidden="1" customHeight="1" outlineLevel="1" x14ac:dyDescent="0.25">
      <c r="A65" s="70"/>
      <c r="B65" s="197" t="s">
        <v>77</v>
      </c>
      <c r="C65" s="195" t="n">
        <v>-4789712.45</v>
      </c>
      <c r="D65" s="195" t="n">
        <v>-4789712.45</v>
      </c>
      <c r="E65" s="199"/>
      <c r="F65" s="195" t="n">
        <f t="shared" si="5"/>
        <v>0.0</v>
      </c>
      <c r="G65" s="195" t="n">
        <f t="shared" si="4"/>
        <v>0.0</v>
      </c>
      <c r="H65" s="4"/>
      <c r="I65" s="4"/>
      <c r="J65" s="4"/>
      <c r="K65" s="4"/>
      <c r="L65" s="4"/>
      <c r="M65" s="4"/>
      <c r="N65" s="4"/>
      <c r="O65" s="2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1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1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1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1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1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70"/>
      <c r="CR65" s="70"/>
      <c r="CS65" s="71"/>
      <c r="CT65" s="70"/>
      <c r="CU65" s="70"/>
      <c r="CV65" s="70"/>
      <c r="CW65" s="70"/>
      <c r="CX65" s="70"/>
      <c r="CY65" s="70"/>
      <c r="CZ65" s="70"/>
      <c r="DA65" s="70"/>
      <c r="DB65" s="70"/>
      <c r="DC65" s="70"/>
      <c r="DD65" s="70"/>
      <c r="DE65" s="70"/>
      <c r="DF65" s="70"/>
      <c r="DG65" s="71"/>
      <c r="DH65" s="70"/>
      <c r="DI65" s="70"/>
      <c r="DJ65" s="70"/>
      <c r="DK65" s="70"/>
      <c r="DL65" s="70"/>
      <c r="DM65" s="70"/>
      <c r="DN65" s="70"/>
      <c r="DO65" s="70"/>
      <c r="DP65" s="70"/>
      <c r="DQ65" s="70"/>
      <c r="DR65" s="70"/>
      <c r="DS65" s="70"/>
      <c r="DT65" s="70"/>
      <c r="DU65" s="71"/>
      <c r="DV65" s="70"/>
      <c r="DW65" s="70"/>
      <c r="DX65" s="70"/>
      <c r="DY65" s="70"/>
      <c r="DZ65" s="70"/>
      <c r="EA65" s="70"/>
      <c r="EB65" s="70"/>
      <c r="EC65" s="70"/>
      <c r="ED65" s="70"/>
      <c r="EE65" s="70"/>
      <c r="EF65" s="70"/>
      <c r="EG65" s="70"/>
      <c r="EH65" s="70"/>
      <c r="EI65" s="71"/>
      <c r="EJ65" s="70"/>
      <c r="EK65" s="70"/>
      <c r="EL65" s="70"/>
      <c r="EM65" s="70"/>
      <c r="EN65" s="70"/>
      <c r="EO65" s="70"/>
      <c r="EP65" s="70"/>
      <c r="EQ65" s="70"/>
      <c r="ER65" s="70"/>
      <c r="ES65" s="70"/>
      <c r="ET65" s="70"/>
      <c r="EU65" s="70"/>
      <c r="EV65" s="70"/>
      <c r="EW65" s="71"/>
      <c r="EX65" s="70"/>
      <c r="EY65" s="70"/>
      <c r="EZ65" s="70"/>
      <c r="FA65" s="70"/>
      <c r="FB65" s="70"/>
      <c r="FC65" s="70"/>
      <c r="FD65" s="70"/>
      <c r="FE65" s="70"/>
      <c r="FF65" s="70"/>
      <c r="FG65" s="70"/>
      <c r="FH65" s="70"/>
      <c r="FI65" s="70"/>
      <c r="FJ65" s="70"/>
      <c r="FK65" s="71"/>
      <c r="FL65" s="70"/>
      <c r="FM65" s="70"/>
      <c r="FN65" s="70"/>
      <c r="FO65" s="70"/>
      <c r="FP65" s="70"/>
      <c r="FQ65" s="70"/>
      <c r="FR65" s="70"/>
      <c r="FS65" s="70"/>
      <c r="FT65" s="70"/>
      <c r="FU65" s="70"/>
      <c r="FV65" s="70"/>
      <c r="FW65" s="70"/>
      <c r="FX65" s="70"/>
      <c r="FY65" s="71"/>
      <c r="FZ65" s="70"/>
      <c r="GA65" s="70"/>
      <c r="GB65" s="70"/>
      <c r="GC65" s="70"/>
      <c r="GD65" s="70"/>
      <c r="GE65" s="70"/>
      <c r="GF65" s="70"/>
      <c r="GG65" s="70"/>
      <c r="GH65" s="70"/>
      <c r="GI65" s="70"/>
      <c r="GJ65" s="70"/>
      <c r="GK65" s="70"/>
      <c r="GL65" s="70"/>
      <c r="GM65" s="71"/>
      <c r="GN65" s="70"/>
      <c r="GO65" s="70"/>
      <c r="GP65" s="70"/>
      <c r="GQ65" s="70"/>
      <c r="GR65" s="70"/>
      <c r="GS65" s="70"/>
      <c r="GT65" s="70"/>
      <c r="GU65" s="70"/>
      <c r="GV65" s="70"/>
      <c r="GW65" s="70"/>
      <c r="GX65" s="70"/>
      <c r="GY65" s="70"/>
      <c r="GZ65" s="70"/>
      <c r="HA65" s="71"/>
      <c r="HB65" s="70"/>
      <c r="HC65" s="70"/>
      <c r="HD65" s="70"/>
      <c r="HE65" s="70"/>
      <c r="HF65" s="70"/>
      <c r="HG65" s="70"/>
      <c r="HH65" s="70"/>
      <c r="HI65" s="70"/>
      <c r="HJ65" s="70"/>
      <c r="HK65" s="70"/>
      <c r="HL65" s="70"/>
      <c r="HM65" s="70"/>
      <c r="HN65" s="70"/>
      <c r="HO65" s="71"/>
      <c r="HP65" s="70"/>
      <c r="HQ65" s="70"/>
      <c r="HR65" s="70"/>
      <c r="HS65" s="70"/>
      <c r="HT65" s="70"/>
      <c r="HU65" s="70"/>
      <c r="HV65" s="70"/>
      <c r="HW65" s="70"/>
      <c r="HX65" s="70"/>
      <c r="HY65" s="70"/>
      <c r="HZ65" s="70"/>
      <c r="IA65" s="70"/>
      <c r="IB65" s="70"/>
      <c r="IC65" s="71"/>
      <c r="ID65" s="70"/>
      <c r="IE65" s="70"/>
      <c r="IF65" s="70"/>
      <c r="IG65" s="70"/>
      <c r="IH65" s="70"/>
      <c r="II65" s="70"/>
      <c r="IJ65" s="70"/>
      <c r="IK65" s="70"/>
      <c r="IL65" s="70"/>
      <c r="IM65" s="70"/>
      <c r="IN65" s="70"/>
      <c r="IO65" s="70"/>
      <c r="IP65" s="70"/>
      <c r="IQ65" s="71"/>
      <c r="IR65" s="70"/>
      <c r="IS65" s="70"/>
      <c r="IT65" s="70"/>
    </row>
    <row r="66" spans="1:254" s="68" customFormat="1" ht="15" hidden="1" customHeight="1" outlineLevel="1" x14ac:dyDescent="0.25">
      <c r="A66" s="70"/>
      <c r="B66" s="197" t="s">
        <v>142</v>
      </c>
      <c r="C66" s="195"/>
      <c r="D66" s="195"/>
      <c r="E66" s="199"/>
      <c r="F66" s="195" t="n">
        <f t="shared" si="5"/>
        <v>0.0</v>
      </c>
      <c r="G66" s="195" t="n">
        <f t="shared" si="4"/>
        <v>0.0</v>
      </c>
      <c r="H66" s="4"/>
      <c r="I66" s="4"/>
      <c r="J66" s="4"/>
      <c r="K66" s="4"/>
      <c r="L66" s="4"/>
      <c r="M66" s="4"/>
      <c r="N66" s="4"/>
      <c r="O66" s="2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1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1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1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1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1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1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1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1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1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1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1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1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1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1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1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1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1"/>
      <c r="IR66" s="70"/>
      <c r="IS66" s="70"/>
      <c r="IT66" s="70"/>
    </row>
    <row r="67" spans="1:254" s="68" customFormat="1" ht="15" hidden="1" customHeight="1" outlineLevel="1" x14ac:dyDescent="0.25">
      <c r="A67" s="70"/>
      <c r="B67" s="197" t="s">
        <v>78</v>
      </c>
      <c r="C67" s="195" t="n">
        <v>-350000.0</v>
      </c>
      <c r="D67" s="195" t="n">
        <v>-350000.0</v>
      </c>
      <c r="E67" s="199"/>
      <c r="F67" s="195" t="n">
        <f t="shared" si="5"/>
        <v>0.0</v>
      </c>
      <c r="G67" s="195" t="n">
        <f t="shared" si="4"/>
        <v>0.0</v>
      </c>
      <c r="H67" s="4"/>
      <c r="I67" s="4"/>
      <c r="J67" s="4"/>
      <c r="K67" s="4"/>
      <c r="L67" s="4"/>
      <c r="M67" s="4"/>
      <c r="N67" s="4"/>
      <c r="O67" s="2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1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1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1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1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1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70"/>
      <c r="CR67" s="70"/>
      <c r="CS67" s="71"/>
      <c r="CT67" s="70"/>
      <c r="CU67" s="70"/>
      <c r="CV67" s="70"/>
      <c r="CW67" s="70"/>
      <c r="CX67" s="70"/>
      <c r="CY67" s="70"/>
      <c r="CZ67" s="70"/>
      <c r="DA67" s="70"/>
      <c r="DB67" s="70"/>
      <c r="DC67" s="70"/>
      <c r="DD67" s="70"/>
      <c r="DE67" s="70"/>
      <c r="DF67" s="70"/>
      <c r="DG67" s="71"/>
      <c r="DH67" s="70"/>
      <c r="DI67" s="70"/>
      <c r="DJ67" s="70"/>
      <c r="DK67" s="70"/>
      <c r="DL67" s="70"/>
      <c r="DM67" s="70"/>
      <c r="DN67" s="70"/>
      <c r="DO67" s="70"/>
      <c r="DP67" s="70"/>
      <c r="DQ67" s="70"/>
      <c r="DR67" s="70"/>
      <c r="DS67" s="70"/>
      <c r="DT67" s="70"/>
      <c r="DU67" s="71"/>
      <c r="DV67" s="70"/>
      <c r="DW67" s="70"/>
      <c r="DX67" s="70"/>
      <c r="DY67" s="70"/>
      <c r="DZ67" s="70"/>
      <c r="EA67" s="70"/>
      <c r="EB67" s="70"/>
      <c r="EC67" s="70"/>
      <c r="ED67" s="70"/>
      <c r="EE67" s="70"/>
      <c r="EF67" s="70"/>
      <c r="EG67" s="70"/>
      <c r="EH67" s="70"/>
      <c r="EI67" s="71"/>
      <c r="EJ67" s="70"/>
      <c r="EK67" s="70"/>
      <c r="EL67" s="70"/>
      <c r="EM67" s="70"/>
      <c r="EN67" s="70"/>
      <c r="EO67" s="70"/>
      <c r="EP67" s="70"/>
      <c r="EQ67" s="70"/>
      <c r="ER67" s="70"/>
      <c r="ES67" s="70"/>
      <c r="ET67" s="70"/>
      <c r="EU67" s="70"/>
      <c r="EV67" s="70"/>
      <c r="EW67" s="71"/>
      <c r="EX67" s="70"/>
      <c r="EY67" s="70"/>
      <c r="EZ67" s="70"/>
      <c r="FA67" s="70"/>
      <c r="FB67" s="70"/>
      <c r="FC67" s="70"/>
      <c r="FD67" s="70"/>
      <c r="FE67" s="70"/>
      <c r="FF67" s="70"/>
      <c r="FG67" s="70"/>
      <c r="FH67" s="70"/>
      <c r="FI67" s="70"/>
      <c r="FJ67" s="70"/>
      <c r="FK67" s="71"/>
      <c r="FL67" s="70"/>
      <c r="FM67" s="70"/>
      <c r="FN67" s="70"/>
      <c r="FO67" s="70"/>
      <c r="FP67" s="70"/>
      <c r="FQ67" s="70"/>
      <c r="FR67" s="70"/>
      <c r="FS67" s="70"/>
      <c r="FT67" s="70"/>
      <c r="FU67" s="70"/>
      <c r="FV67" s="70"/>
      <c r="FW67" s="70"/>
      <c r="FX67" s="70"/>
      <c r="FY67" s="71"/>
      <c r="FZ67" s="70"/>
      <c r="GA67" s="70"/>
      <c r="GB67" s="70"/>
      <c r="GC67" s="70"/>
      <c r="GD67" s="70"/>
      <c r="GE67" s="70"/>
      <c r="GF67" s="70"/>
      <c r="GG67" s="70"/>
      <c r="GH67" s="70"/>
      <c r="GI67" s="70"/>
      <c r="GJ67" s="70"/>
      <c r="GK67" s="70"/>
      <c r="GL67" s="70"/>
      <c r="GM67" s="71"/>
      <c r="GN67" s="70"/>
      <c r="GO67" s="70"/>
      <c r="GP67" s="70"/>
      <c r="GQ67" s="70"/>
      <c r="GR67" s="70"/>
      <c r="GS67" s="70"/>
      <c r="GT67" s="70"/>
      <c r="GU67" s="70"/>
      <c r="GV67" s="70"/>
      <c r="GW67" s="70"/>
      <c r="GX67" s="70"/>
      <c r="GY67" s="70"/>
      <c r="GZ67" s="70"/>
      <c r="HA67" s="71"/>
      <c r="HB67" s="70"/>
      <c r="HC67" s="70"/>
      <c r="HD67" s="70"/>
      <c r="HE67" s="70"/>
      <c r="HF67" s="70"/>
      <c r="HG67" s="70"/>
      <c r="HH67" s="70"/>
      <c r="HI67" s="70"/>
      <c r="HJ67" s="70"/>
      <c r="HK67" s="70"/>
      <c r="HL67" s="70"/>
      <c r="HM67" s="70"/>
      <c r="HN67" s="70"/>
      <c r="HO67" s="71"/>
      <c r="HP67" s="70"/>
      <c r="HQ67" s="70"/>
      <c r="HR67" s="70"/>
      <c r="HS67" s="70"/>
      <c r="HT67" s="70"/>
      <c r="HU67" s="70"/>
      <c r="HV67" s="70"/>
      <c r="HW67" s="70"/>
      <c r="HX67" s="70"/>
      <c r="HY67" s="70"/>
      <c r="HZ67" s="70"/>
      <c r="IA67" s="70"/>
      <c r="IB67" s="70"/>
      <c r="IC67" s="71"/>
      <c r="ID67" s="70"/>
      <c r="IE67" s="70"/>
      <c r="IF67" s="70"/>
      <c r="IG67" s="70"/>
      <c r="IH67" s="70"/>
      <c r="II67" s="70"/>
      <c r="IJ67" s="70"/>
      <c r="IK67" s="70"/>
      <c r="IL67" s="70"/>
      <c r="IM67" s="70"/>
      <c r="IN67" s="70"/>
      <c r="IO67" s="70"/>
      <c r="IP67" s="70"/>
      <c r="IQ67" s="71"/>
      <c r="IR67" s="70"/>
      <c r="IS67" s="70"/>
      <c r="IT67" s="70"/>
    </row>
    <row r="68" spans="1:254" s="68" customFormat="1" ht="15" hidden="1" customHeight="1" outlineLevel="1" x14ac:dyDescent="0.25">
      <c r="B68" s="197" t="s">
        <v>79</v>
      </c>
      <c r="C68" s="195"/>
      <c r="D68" s="195"/>
      <c r="E68" s="199"/>
      <c r="F68" s="195" t="n">
        <f t="shared" si="5"/>
        <v>0.0</v>
      </c>
      <c r="G68" s="195" t="n">
        <f t="shared" si="4"/>
        <v>0.0</v>
      </c>
      <c r="H68" s="4"/>
      <c r="I68" s="4"/>
      <c r="J68" s="4"/>
      <c r="K68" s="4"/>
      <c r="L68" s="4"/>
      <c r="M68" s="4"/>
      <c r="N68" s="4"/>
      <c r="O68" s="2"/>
    </row>
    <row r="69" spans="1:254" s="68" customFormat="1" ht="15" hidden="1" customHeight="1" outlineLevel="1" x14ac:dyDescent="0.25">
      <c r="B69" s="197" t="s">
        <v>80</v>
      </c>
      <c r="C69" s="195"/>
      <c r="D69" s="195"/>
      <c r="E69" s="199"/>
      <c r="F69" s="195" t="n">
        <f t="shared" si="5"/>
        <v>0.0</v>
      </c>
      <c r="G69" s="195" t="n">
        <f t="shared" si="4"/>
        <v>0.0</v>
      </c>
      <c r="H69" s="4"/>
      <c r="I69" s="4"/>
      <c r="J69" s="4"/>
      <c r="K69" s="4"/>
      <c r="L69" s="4"/>
      <c r="M69" s="4"/>
      <c r="N69" s="4"/>
      <c r="O69" s="2"/>
    </row>
    <row r="70" spans="1:254" s="68" customFormat="1" ht="15" hidden="1" customHeight="1" outlineLevel="1" collapsed="1" x14ac:dyDescent="0.25">
      <c r="B70" s="197" t="s">
        <v>81</v>
      </c>
      <c r="C70" s="195"/>
      <c r="D70" s="195"/>
      <c r="E70" s="199"/>
      <c r="F70" s="195" t="n">
        <f t="shared" si="5"/>
        <v>0.0</v>
      </c>
      <c r="G70" s="195" t="n">
        <f t="shared" si="4"/>
        <v>0.0</v>
      </c>
      <c r="H70" s="4"/>
      <c r="I70" s="4"/>
      <c r="J70" s="4"/>
      <c r="K70" s="4"/>
      <c r="L70" s="4"/>
      <c r="M70" s="4"/>
      <c r="N70" s="4"/>
      <c r="O70" s="2"/>
    </row>
    <row r="71" spans="1:254" s="68" customFormat="1" ht="15" hidden="1" customHeight="1" outlineLevel="1" collapsed="1" x14ac:dyDescent="0.25">
      <c r="B71" s="197" t="s">
        <v>82</v>
      </c>
      <c r="C71" s="195"/>
      <c r="D71" s="195"/>
      <c r="E71" s="199"/>
      <c r="F71" s="195" t="n">
        <f t="shared" si="5"/>
        <v>0.0</v>
      </c>
      <c r="G71" s="195" t="n">
        <f t="shared" si="4"/>
        <v>0.0</v>
      </c>
      <c r="H71" s="4"/>
      <c r="I71" s="4"/>
      <c r="J71" s="4"/>
      <c r="K71" s="4"/>
      <c r="L71" s="4"/>
      <c r="M71" s="4"/>
      <c r="N71" s="4"/>
      <c r="O71" s="2"/>
    </row>
    <row r="72" spans="1:254" s="68" customFormat="1" hidden="1" outlineLevel="1" x14ac:dyDescent="0.25">
      <c r="B72" s="197" t="s">
        <v>15</v>
      </c>
      <c r="C72" s="195"/>
      <c r="D72" s="195"/>
      <c r="E72" s="199"/>
      <c r="F72" s="195" t="n">
        <f t="shared" si="5"/>
        <v>0.0</v>
      </c>
      <c r="G72" s="195" t="n">
        <f t="shared" ref="G72:G97" si="6">IF(D72=0, 0, (C72-D72)/ABS(D72))</f>
        <v>0.0</v>
      </c>
      <c r="H72" s="4"/>
      <c r="I72" s="4"/>
      <c r="J72" s="4"/>
      <c r="K72" s="4"/>
      <c r="L72" s="4"/>
      <c r="M72" s="4"/>
      <c r="N72" s="4"/>
      <c r="O72" s="70" t="n">
        <f>+O70</f>
        <v>0.0</v>
      </c>
    </row>
    <row r="73" spans="1:254" s="68" customFormat="1" hidden="1" outlineLevel="1" x14ac:dyDescent="0.25">
      <c r="B73" s="197" t="s">
        <v>137</v>
      </c>
      <c r="C73" s="195" t="n">
        <v>-216376.86</v>
      </c>
      <c r="D73" s="195" t="n">
        <v>-216376.86</v>
      </c>
      <c r="E73" s="199"/>
      <c r="F73" s="195" t="n">
        <f t="shared" si="5"/>
        <v>0.0</v>
      </c>
      <c r="G73" s="195" t="n">
        <f t="shared" si="6"/>
        <v>0.0</v>
      </c>
      <c r="H73" s="4"/>
      <c r="I73" s="4"/>
      <c r="J73" s="4"/>
      <c r="K73" s="4"/>
      <c r="L73" s="4"/>
      <c r="M73" s="4"/>
      <c r="N73" s="4"/>
      <c r="O73" s="70"/>
    </row>
    <row r="74" spans="1:254" s="68" customFormat="1" hidden="1" outlineLevel="1" x14ac:dyDescent="0.25">
      <c r="B74" s="197" t="s">
        <v>138</v>
      </c>
      <c r="C74" s="195" t="n">
        <v>-197578.98</v>
      </c>
      <c r="D74" s="195" t="n">
        <v>-197578.98</v>
      </c>
      <c r="E74" s="199"/>
      <c r="F74" s="195" t="n">
        <f t="shared" si="5"/>
        <v>0.0</v>
      </c>
      <c r="G74" s="195" t="n">
        <f t="shared" si="6"/>
        <v>0.0</v>
      </c>
      <c r="H74" s="4"/>
      <c r="I74" s="4"/>
      <c r="J74" s="4"/>
      <c r="K74" s="4"/>
      <c r="L74" s="4"/>
      <c r="M74" s="4"/>
      <c r="N74" s="4"/>
    </row>
    <row r="75" spans="1:254" s="68" customFormat="1" hidden="1" outlineLevel="1" x14ac:dyDescent="0.25">
      <c r="B75" s="198" t="s">
        <v>83</v>
      </c>
      <c r="C75" s="196" t="n">
        <f>SUBTOTAL(9,C26:C74)</f>
        <v>-2.6206506309999995E7</v>
      </c>
      <c r="D75" s="196" t="n">
        <f>SUBTOTAL(9,D26:D74)</f>
        <v>-2.6206506309999995E7</v>
      </c>
      <c r="E75" s="200"/>
      <c r="F75" s="196" t="n">
        <f>SUBTOTAL(9,F26:F74)</f>
        <v>0.0</v>
      </c>
      <c r="G75" s="196" t="n">
        <f t="shared" si="6"/>
        <v>0.0</v>
      </c>
      <c r="H75" s="4"/>
      <c r="I75" s="4"/>
      <c r="J75" s="4"/>
      <c r="K75" s="4"/>
      <c r="L75" s="4"/>
      <c r="M75" s="4"/>
      <c r="N75" s="4"/>
    </row>
    <row r="76" spans="1:254" s="68" customFormat="1" collapsed="1" x14ac:dyDescent="0.25">
      <c r="B76" s="198" t="s">
        <v>154</v>
      </c>
      <c r="C76" s="196" t="n">
        <f>C25+C75</f>
        <v>-5384664.159999996</v>
      </c>
      <c r="D76" s="196" t="n">
        <f>D25+D75</f>
        <v>-5384664.159999996</v>
      </c>
      <c r="E76" s="200"/>
      <c r="F76" s="196" t="n">
        <f>F25+F75</f>
        <v>0.0</v>
      </c>
      <c r="G76" s="196" t="n">
        <f t="shared" si="6"/>
        <v>0.0</v>
      </c>
      <c r="H76" s="4"/>
      <c r="I76" s="4"/>
      <c r="J76" s="4"/>
      <c r="K76" s="4"/>
      <c r="L76" s="4"/>
      <c r="M76" s="4"/>
      <c r="N76" s="4"/>
    </row>
    <row r="77" spans="1:254" s="1" customFormat="1" hidden="1" outlineLevel="1" x14ac:dyDescent="0.25">
      <c r="B77" s="197" t="s">
        <v>84</v>
      </c>
      <c r="C77" s="195" t="n">
        <v>-237410.0</v>
      </c>
      <c r="D77" s="195" t="n">
        <v>-237410.0</v>
      </c>
      <c r="E77" s="199"/>
      <c r="F77" s="195" t="n">
        <f t="shared" ref="F77:F82" si="7">C77-D77</f>
        <v>0.0</v>
      </c>
      <c r="G77" s="195" t="n">
        <f t="shared" si="6"/>
        <v>0.0</v>
      </c>
      <c r="H77" s="4"/>
      <c r="I77" s="4"/>
      <c r="J77" s="4"/>
      <c r="K77" s="4"/>
      <c r="L77" s="4"/>
      <c r="M77" s="4"/>
      <c r="N77" s="4"/>
      <c r="O77" s="68"/>
    </row>
    <row r="78" spans="1:254" s="1" customFormat="1" hidden="1" outlineLevel="1" x14ac:dyDescent="0.25">
      <c r="B78" s="197" t="s">
        <v>85</v>
      </c>
      <c r="C78" s="195" t="n">
        <v>-516016.0</v>
      </c>
      <c r="D78" s="195" t="n">
        <v>-516016.0</v>
      </c>
      <c r="E78" s="199"/>
      <c r="F78" s="195" t="n">
        <f t="shared" si="7"/>
        <v>0.0</v>
      </c>
      <c r="G78" s="195" t="n">
        <f t="shared" si="6"/>
        <v>0.0</v>
      </c>
      <c r="H78" s="4"/>
      <c r="I78" s="4"/>
      <c r="J78" s="4"/>
      <c r="K78" s="4"/>
      <c r="L78" s="4"/>
      <c r="M78" s="4"/>
      <c r="N78" s="4"/>
      <c r="O78" s="68"/>
    </row>
    <row r="79" spans="1:254" s="1" customFormat="1" hidden="1" outlineLevel="1" collapsed="1" x14ac:dyDescent="0.25">
      <c r="B79" s="197" t="s">
        <v>86</v>
      </c>
      <c r="C79" s="195"/>
      <c r="D79" s="195"/>
      <c r="E79" s="199"/>
      <c r="F79" s="195" t="n">
        <f t="shared" si="7"/>
        <v>0.0</v>
      </c>
      <c r="G79" s="195" t="n">
        <f t="shared" si="6"/>
        <v>0.0</v>
      </c>
      <c r="H79" s="4"/>
      <c r="I79" s="4"/>
      <c r="J79" s="4"/>
      <c r="K79" s="4"/>
      <c r="L79" s="4"/>
      <c r="M79" s="4"/>
      <c r="N79" s="4"/>
      <c r="O79" s="68"/>
    </row>
    <row r="80" spans="1:254" s="1" customFormat="1" hidden="1" outlineLevel="1" x14ac:dyDescent="0.25">
      <c r="B80" s="197" t="s">
        <v>87</v>
      </c>
      <c r="C80" s="195"/>
      <c r="D80" s="195"/>
      <c r="E80" s="199"/>
      <c r="F80" s="195" t="n">
        <f t="shared" si="7"/>
        <v>0.0</v>
      </c>
      <c r="G80" s="195" t="n">
        <f t="shared" si="6"/>
        <v>0.0</v>
      </c>
      <c r="H80" s="4"/>
      <c r="I80" s="4"/>
      <c r="J80" s="4"/>
      <c r="K80" s="4"/>
      <c r="L80" s="4"/>
      <c r="M80" s="4"/>
      <c r="N80" s="4"/>
      <c r="O80" s="68"/>
    </row>
    <row r="81" spans="2:15" s="1" customFormat="1" hidden="1" outlineLevel="1" x14ac:dyDescent="0.25">
      <c r="B81" s="197" t="s">
        <v>88</v>
      </c>
      <c r="C81" s="195"/>
      <c r="D81" s="195"/>
      <c r="E81" s="199"/>
      <c r="F81" s="195" t="n">
        <f t="shared" si="7"/>
        <v>0.0</v>
      </c>
      <c r="G81" s="195" t="n">
        <f t="shared" si="6"/>
        <v>0.0</v>
      </c>
      <c r="H81" s="4"/>
      <c r="I81" s="4"/>
      <c r="J81" s="4"/>
      <c r="K81" s="4"/>
      <c r="L81" s="4"/>
      <c r="M81" s="4"/>
      <c r="N81" s="4"/>
      <c r="O81" s="68"/>
    </row>
    <row r="82" spans="2:15" s="1" customFormat="1" hidden="1" outlineLevel="1" x14ac:dyDescent="0.25">
      <c r="B82" s="197" t="s">
        <v>89</v>
      </c>
      <c r="C82" s="195"/>
      <c r="D82" s="195"/>
      <c r="E82" s="199"/>
      <c r="F82" s="195" t="n">
        <f t="shared" si="7"/>
        <v>0.0</v>
      </c>
      <c r="G82" s="195" t="n">
        <f t="shared" si="6"/>
        <v>0.0</v>
      </c>
      <c r="H82" s="4"/>
      <c r="I82" s="4"/>
      <c r="J82" s="4"/>
      <c r="K82" s="4"/>
      <c r="L82" s="4"/>
      <c r="M82" s="4"/>
      <c r="N82" s="4"/>
      <c r="O82" s="68"/>
    </row>
    <row r="83" spans="2:15" s="1" customFormat="1" hidden="1" outlineLevel="1" x14ac:dyDescent="0.25">
      <c r="B83" s="198" t="s">
        <v>90</v>
      </c>
      <c r="C83" s="196" t="n">
        <f>SUBTOTAL(9,C77:C82)</f>
        <v>-753426.0</v>
      </c>
      <c r="D83" s="196" t="n">
        <f>SUBTOTAL(9,D77:D82)</f>
        <v>-753426.0</v>
      </c>
      <c r="E83" s="200"/>
      <c r="F83" s="196" t="n">
        <f>SUBTOTAL(9,F77:F82)</f>
        <v>0.0</v>
      </c>
      <c r="G83" s="196" t="n">
        <f t="shared" si="6"/>
        <v>0.0</v>
      </c>
      <c r="H83" s="4"/>
      <c r="I83" s="4"/>
      <c r="J83" s="4"/>
      <c r="K83" s="4"/>
      <c r="L83" s="4"/>
      <c r="M83" s="4"/>
      <c r="N83" s="4"/>
      <c r="O83" s="68"/>
    </row>
    <row r="84" spans="2:15" s="1" customFormat="1" collapsed="1" x14ac:dyDescent="0.25">
      <c r="B84" s="198" t="s">
        <v>155</v>
      </c>
      <c r="C84" s="196" t="n">
        <f>C76+C83</f>
        <v>-6138090.159999996</v>
      </c>
      <c r="D84" s="196" t="n">
        <f>D76+D83</f>
        <v>-6138090.159999996</v>
      </c>
      <c r="E84" s="200"/>
      <c r="F84" s="196" t="n">
        <f>F76+F83</f>
        <v>0.0</v>
      </c>
      <c r="G84" s="196" t="n">
        <f t="shared" si="6"/>
        <v>0.0</v>
      </c>
      <c r="H84" s="4"/>
      <c r="I84" s="4"/>
      <c r="J84" s="4"/>
      <c r="K84" s="4"/>
      <c r="L84" s="4"/>
      <c r="M84" s="4"/>
      <c r="N84" s="4"/>
      <c r="O84" s="68"/>
    </row>
    <row r="85" spans="2:15" s="1" customFormat="1" hidden="1" outlineLevel="1" x14ac:dyDescent="0.25">
      <c r="B85" s="197" t="s">
        <v>91</v>
      </c>
      <c r="C85" s="195"/>
      <c r="D85" s="195"/>
      <c r="E85" s="199"/>
      <c r="F85" s="195" t="n">
        <f t="shared" ref="F85:F95" si="8">C85-D85</f>
        <v>0.0</v>
      </c>
      <c r="G85" s="195" t="n">
        <f t="shared" si="6"/>
        <v>0.0</v>
      </c>
      <c r="H85" s="4"/>
      <c r="I85" s="4"/>
      <c r="J85" s="4"/>
      <c r="K85" s="4"/>
      <c r="L85" s="4"/>
      <c r="M85" s="4"/>
      <c r="N85" s="4"/>
      <c r="O85" s="68"/>
    </row>
    <row r="86" spans="2:15" s="1" customFormat="1" hidden="1" outlineLevel="1" x14ac:dyDescent="0.25">
      <c r="B86" s="197" t="s">
        <v>92</v>
      </c>
      <c r="C86" s="195"/>
      <c r="D86" s="195"/>
      <c r="E86" s="199"/>
      <c r="F86" s="195" t="n">
        <f t="shared" si="8"/>
        <v>0.0</v>
      </c>
      <c r="G86" s="195" t="n">
        <f t="shared" si="6"/>
        <v>0.0</v>
      </c>
      <c r="H86" s="4"/>
      <c r="I86" s="4"/>
      <c r="J86" s="4"/>
      <c r="K86" s="4"/>
      <c r="L86" s="4"/>
      <c r="M86" s="4"/>
      <c r="N86" s="4"/>
      <c r="O86" s="68"/>
    </row>
    <row r="87" spans="2:15" s="1" customFormat="1" hidden="1" outlineLevel="1" x14ac:dyDescent="0.25">
      <c r="B87" s="197" t="s">
        <v>93</v>
      </c>
      <c r="C87" s="195"/>
      <c r="D87" s="195"/>
      <c r="E87" s="199"/>
      <c r="F87" s="195" t="n">
        <f t="shared" si="8"/>
        <v>0.0</v>
      </c>
      <c r="G87" s="195" t="n">
        <f t="shared" si="6"/>
        <v>0.0</v>
      </c>
      <c r="H87" s="4"/>
      <c r="I87" s="4"/>
      <c r="J87" s="4"/>
      <c r="K87" s="4"/>
      <c r="L87" s="4"/>
      <c r="M87" s="4"/>
      <c r="N87" s="4"/>
    </row>
    <row r="88" spans="2:15" s="1" customFormat="1" hidden="1" outlineLevel="1" x14ac:dyDescent="0.25">
      <c r="B88" s="197" t="s">
        <v>94</v>
      </c>
      <c r="C88" s="195"/>
      <c r="D88" s="195"/>
      <c r="E88" s="199"/>
      <c r="F88" s="195" t="n">
        <f t="shared" si="8"/>
        <v>0.0</v>
      </c>
      <c r="G88" s="195" t="n">
        <f t="shared" si="6"/>
        <v>0.0</v>
      </c>
      <c r="H88" s="4"/>
      <c r="I88" s="4"/>
      <c r="J88" s="4"/>
      <c r="K88" s="4"/>
      <c r="L88" s="4"/>
      <c r="M88" s="4"/>
      <c r="N88" s="4"/>
    </row>
    <row r="89" spans="2:15" s="1" customFormat="1" hidden="1" outlineLevel="1" x14ac:dyDescent="0.25">
      <c r="B89" s="197" t="s">
        <v>95</v>
      </c>
      <c r="C89" s="195"/>
      <c r="D89" s="195"/>
      <c r="E89" s="199"/>
      <c r="F89" s="195" t="n">
        <f t="shared" si="8"/>
        <v>0.0</v>
      </c>
      <c r="G89" s="195" t="n">
        <f t="shared" si="6"/>
        <v>0.0</v>
      </c>
      <c r="H89" s="4"/>
      <c r="I89" s="4"/>
      <c r="J89" s="4"/>
      <c r="K89" s="4"/>
      <c r="L89" s="4"/>
      <c r="M89" s="4"/>
      <c r="N89" s="4"/>
    </row>
    <row r="90" spans="2:15" s="1" customFormat="1" hidden="1" outlineLevel="1" x14ac:dyDescent="0.25">
      <c r="B90" s="197" t="s">
        <v>96</v>
      </c>
      <c r="C90" s="195"/>
      <c r="D90" s="195"/>
      <c r="E90" s="199"/>
      <c r="F90" s="195" t="n">
        <f t="shared" si="8"/>
        <v>0.0</v>
      </c>
      <c r="G90" s="195" t="n">
        <f t="shared" si="6"/>
        <v>0.0</v>
      </c>
      <c r="H90" s="4"/>
      <c r="I90" s="4"/>
      <c r="J90" s="4"/>
      <c r="K90" s="4"/>
      <c r="L90" s="4"/>
      <c r="M90" s="4"/>
      <c r="N90" s="4"/>
    </row>
    <row r="91" spans="2:15" s="1" customFormat="1" hidden="1" outlineLevel="1" x14ac:dyDescent="0.25">
      <c r="B91" s="197" t="s">
        <v>97</v>
      </c>
      <c r="C91" s="195"/>
      <c r="D91" s="195"/>
      <c r="E91" s="199"/>
      <c r="F91" s="195" t="n">
        <f t="shared" si="8"/>
        <v>0.0</v>
      </c>
      <c r="G91" s="195" t="n">
        <f t="shared" si="6"/>
        <v>0.0</v>
      </c>
      <c r="H91" s="4"/>
      <c r="I91" s="4"/>
      <c r="J91" s="4"/>
      <c r="K91" s="4"/>
      <c r="L91" s="4"/>
      <c r="M91" s="4"/>
      <c r="N91" s="4"/>
    </row>
    <row r="92" spans="2:15" s="1" customFormat="1" hidden="1" outlineLevel="1" collapsed="1" x14ac:dyDescent="0.25">
      <c r="B92" s="197" t="s">
        <v>36</v>
      </c>
      <c r="C92" s="195"/>
      <c r="D92" s="195"/>
      <c r="E92" s="199"/>
      <c r="F92" s="195" t="n">
        <f t="shared" si="8"/>
        <v>0.0</v>
      </c>
      <c r="G92" s="195" t="n">
        <f t="shared" si="6"/>
        <v>0.0</v>
      </c>
      <c r="H92" s="4"/>
      <c r="I92" s="4"/>
      <c r="J92" s="4"/>
      <c r="K92" s="4"/>
      <c r="L92" s="4"/>
      <c r="M92" s="4"/>
      <c r="N92" s="4"/>
    </row>
    <row r="93" spans="2:15" s="1" customFormat="1" hidden="1" outlineLevel="1" x14ac:dyDescent="0.25">
      <c r="B93" s="197" t="s">
        <v>98</v>
      </c>
      <c r="C93" s="195"/>
      <c r="D93" s="195"/>
      <c r="E93" s="199"/>
      <c r="F93" s="195" t="n">
        <f t="shared" si="8"/>
        <v>0.0</v>
      </c>
      <c r="G93" s="195" t="n">
        <f t="shared" si="6"/>
        <v>0.0</v>
      </c>
      <c r="H93" s="4"/>
      <c r="I93" s="4"/>
      <c r="J93" s="4"/>
      <c r="K93" s="4"/>
      <c r="L93" s="4"/>
      <c r="M93" s="4"/>
      <c r="N93" s="4"/>
    </row>
    <row r="94" spans="2:15" s="1" customFormat="1" hidden="1" outlineLevel="1" x14ac:dyDescent="0.25">
      <c r="B94" s="197" t="s">
        <v>99</v>
      </c>
      <c r="C94" s="195"/>
      <c r="D94" s="195"/>
      <c r="E94" s="199"/>
      <c r="F94" s="195" t="n">
        <f t="shared" si="8"/>
        <v>0.0</v>
      </c>
      <c r="G94" s="195" t="n">
        <f t="shared" si="6"/>
        <v>0.0</v>
      </c>
      <c r="H94" s="4"/>
      <c r="I94" s="4"/>
      <c r="J94" s="4"/>
      <c r="K94" s="4"/>
      <c r="L94" s="4"/>
      <c r="M94" s="4"/>
      <c r="N94" s="4"/>
    </row>
    <row r="95" spans="2:15" s="1" customFormat="1" hidden="1" outlineLevel="1" x14ac:dyDescent="0.25">
      <c r="B95" s="197" t="s">
        <v>100</v>
      </c>
      <c r="C95" s="195"/>
      <c r="D95" s="195"/>
      <c r="E95" s="199"/>
      <c r="F95" s="195" t="n">
        <f t="shared" si="8"/>
        <v>0.0</v>
      </c>
      <c r="G95" s="195" t="n">
        <f t="shared" si="6"/>
        <v>0.0</v>
      </c>
      <c r="H95" s="4"/>
      <c r="I95" s="4"/>
      <c r="J95" s="4"/>
      <c r="K95" s="4"/>
      <c r="L95" s="4"/>
      <c r="M95" s="4"/>
      <c r="N95" s="4"/>
    </row>
    <row r="96" spans="2:15" s="1" customFormat="1" x14ac:dyDescent="0.25">
      <c r="B96" s="198" t="s">
        <v>156</v>
      </c>
      <c r="C96" s="196" t="n">
        <f>SUBTOTAL(9,C85:C95)</f>
        <v>0.0</v>
      </c>
      <c r="D96" s="196" t="n">
        <f>SUBTOTAL(9,D85:D95)</f>
        <v>0.0</v>
      </c>
      <c r="E96" s="200"/>
      <c r="F96" s="196" t="n">
        <f>SUBTOTAL(9,F85:F95)</f>
        <v>0.0</v>
      </c>
      <c r="G96" s="196" t="n">
        <f t="shared" si="6"/>
        <v>0.0</v>
      </c>
      <c r="H96" s="4"/>
      <c r="I96" s="4"/>
      <c r="J96" s="4"/>
      <c r="K96" s="4"/>
      <c r="L96" s="4"/>
      <c r="M96" s="4"/>
      <c r="N96" s="4"/>
    </row>
    <row r="97" spans="2:14" s="1" customFormat="1" collapsed="1" x14ac:dyDescent="0.25">
      <c r="B97" s="203" t="s">
        <v>157</v>
      </c>
      <c r="C97" s="202" t="n">
        <f>C14+C84+C96</f>
        <v>-6138090.159999996</v>
      </c>
      <c r="D97" s="202" t="n">
        <f>D14+D84+D96</f>
        <v>-6138090.159999996</v>
      </c>
      <c r="E97" s="212"/>
      <c r="F97" s="202" t="n">
        <f>F14+F84+F96</f>
        <v>0.0</v>
      </c>
      <c r="G97" s="202" t="n">
        <f t="shared" si="6"/>
        <v>0.0</v>
      </c>
      <c r="H97" s="4"/>
      <c r="I97" s="4"/>
      <c r="J97" s="4"/>
      <c r="K97" s="4"/>
      <c r="L97" s="4"/>
      <c r="M97" s="4"/>
      <c r="N97" s="4"/>
    </row>
    <row r="98" spans="2:14" s="1" customFormat="1" x14ac:dyDescent="0.25">
      <c r="B98" s="57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s="1" customFormat="1" x14ac:dyDescent="0.25"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</row>
    <row r="100" spans="2:14" s="1" customFormat="1" ht="71.3" x14ac:dyDescent="0.25"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72" t="s">
        <v>446</v>
      </c>
    </row>
    <row r="101" spans="2:14" s="1" customFormat="1" x14ac:dyDescent="0.25"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</row>
    <row r="102" spans="2:14" s="1" customFormat="1" x14ac:dyDescent="0.25"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</row>
    <row r="103" spans="2:14" s="1" customFormat="1" x14ac:dyDescent="0.25"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</row>
    <row r="104" spans="2:14" s="1" customFormat="1" x14ac:dyDescent="0.25"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</row>
    <row r="105" spans="2:14" s="1" customFormat="1" x14ac:dyDescent="0.25"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</row>
    <row r="106" spans="2:14" s="1" customFormat="1" x14ac:dyDescent="0.25"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</row>
    <row r="107" spans="2:14" s="1" customFormat="1" x14ac:dyDescent="0.25"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</row>
    <row r="108" spans="2:14" s="1" customFormat="1" x14ac:dyDescent="0.25"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</row>
    <row r="109" spans="2:14" s="1" customFormat="1" x14ac:dyDescent="0.25"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</row>
    <row r="110" spans="2:14" s="1" customFormat="1" x14ac:dyDescent="0.25"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</row>
    <row r="111" spans="2:14" s="1" customFormat="1" x14ac:dyDescent="0.25"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</row>
    <row r="112" spans="2:14" s="1" customFormat="1" x14ac:dyDescent="0.25"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</row>
    <row r="113" spans="2:14" s="1" customFormat="1" x14ac:dyDescent="0.25"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</row>
    <row r="114" spans="2:14" s="1" customFormat="1" x14ac:dyDescent="0.25"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</row>
    <row r="115" spans="2:14" s="1" customFormat="1" x14ac:dyDescent="0.25"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</row>
    <row r="116" spans="2:14" s="1" customFormat="1" x14ac:dyDescent="0.25"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</row>
    <row r="117" spans="2:14" s="1" customFormat="1" x14ac:dyDescent="0.25"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</row>
    <row r="118" spans="2:14" s="1" customFormat="1" x14ac:dyDescent="0.25"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</row>
    <row r="119" spans="2:14" s="1" customFormat="1" x14ac:dyDescent="0.25"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</row>
    <row r="120" spans="2:14" s="1" customFormat="1" x14ac:dyDescent="0.25"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</row>
    <row r="121" spans="2:14" s="1" customFormat="1" x14ac:dyDescent="0.25"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</row>
    <row r="122" spans="2:14" s="1" customFormat="1" x14ac:dyDescent="0.25"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</row>
    <row r="123" spans="2:14" s="1" customFormat="1" x14ac:dyDescent="0.25"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</row>
    <row r="124" spans="2:14" s="1" customFormat="1" x14ac:dyDescent="0.25"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</row>
    <row r="125" spans="2:14" s="1" customFormat="1" x14ac:dyDescent="0.25"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</row>
    <row r="126" spans="2:14" s="1" customFormat="1" x14ac:dyDescent="0.25"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</row>
    <row r="127" spans="2:14" s="1" customFormat="1" x14ac:dyDescent="0.25"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</row>
    <row r="128" spans="2:14" s="1" customFormat="1" x14ac:dyDescent="0.25"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</row>
    <row r="129" spans="2:14" s="1" customFormat="1" x14ac:dyDescent="0.25"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</row>
    <row r="130" spans="2:14" s="1" customFormat="1" x14ac:dyDescent="0.25"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</row>
    <row r="131" spans="2:14" s="1" customFormat="1" x14ac:dyDescent="0.25"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</row>
    <row r="132" spans="2:14" s="1" customFormat="1" x14ac:dyDescent="0.25"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</row>
    <row r="133" spans="2:14" s="1" customFormat="1" x14ac:dyDescent="0.25"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</row>
    <row r="134" spans="2:14" s="1" customFormat="1" x14ac:dyDescent="0.25"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</row>
    <row r="135" spans="2:14" s="1" customFormat="1" x14ac:dyDescent="0.25"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</row>
    <row r="136" spans="2:14" s="1" customFormat="1" x14ac:dyDescent="0.25"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</row>
    <row r="137" spans="2:14" s="1" customFormat="1" x14ac:dyDescent="0.25"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</row>
    <row r="138" spans="2:14" s="1" customFormat="1" x14ac:dyDescent="0.25"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</row>
    <row r="139" spans="2:14" s="1" customFormat="1" x14ac:dyDescent="0.25"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</row>
    <row r="140" spans="2:14" s="1" customFormat="1" x14ac:dyDescent="0.25"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</row>
    <row r="141" spans="2:14" s="1" customFormat="1" x14ac:dyDescent="0.25"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</row>
  </sheetData>
  <mergeCells count="2">
    <mergeCell ref="E2:I2"/>
    <mergeCell ref="B3:C3"/>
  </mergeCells>
  <pageMargins left="0.75" right="0.75" top="1" bottom="1" header="0.5" footer="0.5"/>
  <headerFooter alignWithMargins="0"/>
  <customProperties>
    <customPr name="TGK_SHEET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5"/>
  <sheetViews>
    <sheetView showGridLines="0" showRowColHeaders="0" workbookViewId="0">
      <selection activeCell="H3" sqref="H3"/>
    </sheetView>
  </sheetViews>
  <sheetFormatPr defaultRowHeight="14.3" x14ac:dyDescent="0.25"/>
  <cols>
    <col min="1" max="1" customWidth="true" width="1.28515625" collapsed="true"/>
    <col min="2" max="2" customWidth="true" width="10.0" collapsed="true"/>
    <col min="3" max="3" customWidth="true" width="17.28515625" collapsed="true"/>
    <col min="4" max="8" customWidth="true" width="11.0" collapsed="true"/>
    <col min="9" max="9" customWidth="true" width="1.28515625" collapsed="true"/>
    <col min="10" max="14" customWidth="true" width="11.0" collapsed="true"/>
    <col min="15" max="15" customWidth="true" width="1.28515625" collapsed="true"/>
    <col min="16" max="20" customWidth="true" width="11.0" collapsed="true"/>
  </cols>
  <sheetData>
    <row r="1" spans="1:20" ht="23.7" customHeight="1" x14ac:dyDescent="0.25">
      <c r="A1" s="87" t="s">
        <v>117</v>
      </c>
      <c r="B1" s="87"/>
      <c r="C1" s="87"/>
      <c r="D1" s="87"/>
      <c r="E1" s="87"/>
    </row>
    <row r="2" spans="1:20" ht="10.199999999999999" hidden="1" customHeight="1" x14ac:dyDescent="0.25"/>
    <row r="3" spans="1:20" ht="9.4499999999999993" customHeight="1" x14ac:dyDescent="0.25"/>
    <row r="4" spans="1:20" ht="16.95" customHeight="1" thickBot="1" x14ac:dyDescent="0.3">
      <c r="B4" s="30"/>
      <c r="D4" s="84" t="str">
        <f>D5</f>
        <v>2017 Budget</v>
      </c>
      <c r="E4" s="85"/>
      <c r="F4" s="85"/>
      <c r="G4" s="85"/>
      <c r="H4" s="86"/>
      <c r="J4" s="84" t="str">
        <f>J5</f>
        <v>2017 Budget - Version 1</v>
      </c>
      <c r="K4" s="85"/>
      <c r="L4" s="85"/>
      <c r="M4" s="85"/>
      <c r="N4" s="86"/>
      <c r="P4" s="84" t="s">
        <v>125</v>
      </c>
      <c r="Q4" s="85"/>
      <c r="R4" s="85"/>
      <c r="S4" s="85"/>
      <c r="T4" s="86"/>
    </row>
    <row r="5" spans="1:20" ht="30.65" hidden="1" thickBot="1" x14ac:dyDescent="0.3">
      <c r="D5" s="14" t="s">
        <v>273</v>
      </c>
      <c r="E5" s="14" t="s">
        <v>275</v>
      </c>
      <c r="F5" s="14" t="s">
        <v>275</v>
      </c>
      <c r="G5" s="14" t="s">
        <v>275</v>
      </c>
      <c r="H5" s="14" t="s">
        <v>275</v>
      </c>
      <c r="I5" s="34" t="s">
        <v>275</v>
      </c>
      <c r="J5" s="14" t="s">
        <v>274</v>
      </c>
      <c r="K5" s="14" t="s">
        <v>275</v>
      </c>
      <c r="L5" s="14" t="s">
        <v>275</v>
      </c>
      <c r="M5" s="14" t="s">
        <v>275</v>
      </c>
      <c r="N5" s="14" t="s">
        <v>275</v>
      </c>
      <c r="O5" s="14" t="s">
        <v>275</v>
      </c>
      <c r="P5" s="14" t="s">
        <v>275</v>
      </c>
      <c r="Q5" s="14" t="s">
        <v>275</v>
      </c>
      <c r="R5" s="14" t="s">
        <v>275</v>
      </c>
      <c r="S5" s="14" t="s">
        <v>275</v>
      </c>
      <c r="T5" s="14" t="s">
        <v>275</v>
      </c>
    </row>
    <row r="6" spans="1:20" ht="15.7" thickTop="1" thickBot="1" x14ac:dyDescent="0.3">
      <c r="D6" s="14" t="s">
        <v>276</v>
      </c>
      <c r="E6" s="14" t="s">
        <v>277</v>
      </c>
      <c r="F6" s="14" t="s">
        <v>279</v>
      </c>
      <c r="G6" s="14" t="s">
        <v>278</v>
      </c>
      <c r="H6" s="14" t="s">
        <v>39</v>
      </c>
      <c r="I6" s="34" t="s">
        <v>275</v>
      </c>
      <c r="J6" s="14" t="s">
        <v>276</v>
      </c>
      <c r="K6" s="14" t="s">
        <v>277</v>
      </c>
      <c r="L6" s="14" t="s">
        <v>279</v>
      </c>
      <c r="M6" s="14" t="s">
        <v>278</v>
      </c>
      <c r="N6" s="14" t="s">
        <v>39</v>
      </c>
      <c r="O6" s="34" t="s">
        <v>275</v>
      </c>
      <c r="P6" s="14" t="s">
        <v>22</v>
      </c>
      <c r="Q6" s="14" t="s">
        <v>103</v>
      </c>
      <c r="R6" s="14" t="s">
        <v>104</v>
      </c>
      <c r="S6" s="14" t="s">
        <v>105</v>
      </c>
      <c r="T6" s="14" t="s">
        <v>39</v>
      </c>
    </row>
    <row r="7" spans="1:20" ht="15" thickTop="1" x14ac:dyDescent="0.25">
      <c r="B7" s="16" t="s">
        <v>106</v>
      </c>
      <c r="C7" s="16" t="s">
        <v>107</v>
      </c>
      <c r="D7" s="31" t="n">
        <v>215014.539694903</v>
      </c>
      <c r="E7" s="31" t="n">
        <v>215866.873281103</v>
      </c>
      <c r="F7" s="31" t="n">
        <v>170337.396160411</v>
      </c>
      <c r="G7" s="31" t="n">
        <v>192642.186677655</v>
      </c>
      <c r="H7" s="31" t="n">
        <f t="shared" ref="H7:H12" si="0">SUM(D7:G7)</f>
        <v>793860.995814072</v>
      </c>
      <c r="I7" s="35"/>
      <c r="J7" s="31" t="n">
        <v>215014.539694903</v>
      </c>
      <c r="K7" s="31" t="n">
        <v>215866.873281103</v>
      </c>
      <c r="L7" s="31" t="n">
        <v>170337.396160411</v>
      </c>
      <c r="M7" s="31" t="n">
        <v>192642.186677655</v>
      </c>
      <c r="N7" s="31" t="n">
        <f t="shared" ref="N7:N12" si="1">SUM(J7:M7)</f>
        <v>793860.995814072</v>
      </c>
      <c r="O7" s="31"/>
      <c r="P7" s="31" t="n">
        <f t="shared" ref="P7:T12" si="2">D7-J7</f>
        <v>0.0</v>
      </c>
      <c r="Q7" s="31" t="n">
        <f t="shared" si="2"/>
        <v>0.0</v>
      </c>
      <c r="R7" s="31" t="n">
        <f t="shared" si="2"/>
        <v>0.0</v>
      </c>
      <c r="S7" s="31" t="n">
        <f t="shared" si="2"/>
        <v>0.0</v>
      </c>
      <c r="T7" s="31" t="n">
        <f t="shared" si="2"/>
        <v>0.0</v>
      </c>
    </row>
    <row r="8" spans="1:20" x14ac:dyDescent="0.25">
      <c r="B8" s="16" t="s">
        <v>275</v>
      </c>
      <c r="C8" s="16" t="s">
        <v>108</v>
      </c>
      <c r="D8" s="31" t="n">
        <v>60736.093189652</v>
      </c>
      <c r="E8" s="31" t="n">
        <v>69851.225344827</v>
      </c>
      <c r="F8" s="31" t="n">
        <v>65275.569482756</v>
      </c>
      <c r="G8" s="31" t="n">
        <v>65202.573793099</v>
      </c>
      <c r="H8" s="31" t="n">
        <f t="shared" si="0"/>
        <v>261065.461810334</v>
      </c>
      <c r="I8" s="35"/>
      <c r="J8" s="31" t="n">
        <v>60736.093189652</v>
      </c>
      <c r="K8" s="31" t="n">
        <v>69851.225344827</v>
      </c>
      <c r="L8" s="31" t="n">
        <v>65275.569482756</v>
      </c>
      <c r="M8" s="31" t="n">
        <v>65202.573793099</v>
      </c>
      <c r="N8" s="31" t="n">
        <f t="shared" si="1"/>
        <v>261065.461810334</v>
      </c>
      <c r="O8" s="31"/>
      <c r="P8" s="31" t="n">
        <f t="shared" si="2"/>
        <v>0.0</v>
      </c>
      <c r="Q8" s="31" t="n">
        <f t="shared" si="2"/>
        <v>0.0</v>
      </c>
      <c r="R8" s="31" t="n">
        <f t="shared" si="2"/>
        <v>0.0</v>
      </c>
      <c r="S8" s="31" t="n">
        <f t="shared" si="2"/>
        <v>0.0</v>
      </c>
      <c r="T8" s="31" t="n">
        <f t="shared" si="2"/>
        <v>0.0</v>
      </c>
    </row>
    <row r="9" spans="1:20" x14ac:dyDescent="0.25">
      <c r="B9" s="16" t="s">
        <v>275</v>
      </c>
      <c r="C9" s="16" t="s">
        <v>109</v>
      </c>
      <c r="D9" s="31" t="n">
        <v>21150.0</v>
      </c>
      <c r="E9" s="31" t="n">
        <v>21150.0</v>
      </c>
      <c r="F9" s="31" t="n">
        <v>21150.0</v>
      </c>
      <c r="G9" s="31" t="n">
        <v>21150.0</v>
      </c>
      <c r="H9" s="31" t="n">
        <f t="shared" si="0"/>
        <v>84600.0</v>
      </c>
      <c r="I9" s="35"/>
      <c r="J9" s="31" t="n">
        <v>21150.0</v>
      </c>
      <c r="K9" s="31" t="n">
        <v>21150.0</v>
      </c>
      <c r="L9" s="31" t="n">
        <v>21150.0</v>
      </c>
      <c r="M9" s="31" t="n">
        <v>21150.0</v>
      </c>
      <c r="N9" s="31" t="n">
        <f t="shared" si="1"/>
        <v>84600.0</v>
      </c>
      <c r="O9" s="31"/>
      <c r="P9" s="31" t="n">
        <f t="shared" si="2"/>
        <v>0.0</v>
      </c>
      <c r="Q9" s="31" t="n">
        <f t="shared" si="2"/>
        <v>0.0</v>
      </c>
      <c r="R9" s="31" t="n">
        <f t="shared" si="2"/>
        <v>0.0</v>
      </c>
      <c r="S9" s="31" t="n">
        <f t="shared" si="2"/>
        <v>0.0</v>
      </c>
      <c r="T9" s="31" t="n">
        <f t="shared" si="2"/>
        <v>0.0</v>
      </c>
    </row>
    <row r="10" spans="1:20" x14ac:dyDescent="0.25">
      <c r="B10" s="16" t="s">
        <v>275</v>
      </c>
      <c r="C10" s="16" t="s">
        <v>110</v>
      </c>
      <c r="D10" s="31"/>
      <c r="E10" s="31"/>
      <c r="F10" s="31"/>
      <c r="G10" s="31"/>
      <c r="H10" s="31" t="n">
        <f t="shared" si="0"/>
        <v>0.0</v>
      </c>
      <c r="I10" s="35"/>
      <c r="J10" s="31"/>
      <c r="K10" s="31"/>
      <c r="L10" s="31"/>
      <c r="M10" s="31"/>
      <c r="N10" s="31" t="n">
        <f t="shared" si="1"/>
        <v>0.0</v>
      </c>
      <c r="O10" s="31"/>
      <c r="P10" s="31" t="n">
        <f t="shared" si="2"/>
        <v>0.0</v>
      </c>
      <c r="Q10" s="31" t="n">
        <f t="shared" si="2"/>
        <v>0.0</v>
      </c>
      <c r="R10" s="31" t="n">
        <f t="shared" si="2"/>
        <v>0.0</v>
      </c>
      <c r="S10" s="31" t="n">
        <f t="shared" si="2"/>
        <v>0.0</v>
      </c>
      <c r="T10" s="31" t="n">
        <f t="shared" si="2"/>
        <v>0.0</v>
      </c>
    </row>
    <row r="11" spans="1:20" x14ac:dyDescent="0.25">
      <c r="B11" s="16" t="s">
        <v>275</v>
      </c>
      <c r="C11" s="16" t="s">
        <v>111</v>
      </c>
      <c r="D11" s="31"/>
      <c r="E11" s="31"/>
      <c r="F11" s="31"/>
      <c r="G11" s="31"/>
      <c r="H11" s="31" t="n">
        <f t="shared" si="0"/>
        <v>0.0</v>
      </c>
      <c r="I11" s="35"/>
      <c r="J11" s="31"/>
      <c r="K11" s="31"/>
      <c r="L11" s="31"/>
      <c r="M11" s="31"/>
      <c r="N11" s="31" t="n">
        <f t="shared" si="1"/>
        <v>0.0</v>
      </c>
      <c r="O11" s="31"/>
      <c r="P11" s="31" t="n">
        <f t="shared" si="2"/>
        <v>0.0</v>
      </c>
      <c r="Q11" s="31" t="n">
        <f t="shared" si="2"/>
        <v>0.0</v>
      </c>
      <c r="R11" s="31" t="n">
        <f t="shared" si="2"/>
        <v>0.0</v>
      </c>
      <c r="S11" s="31" t="n">
        <f t="shared" si="2"/>
        <v>0.0</v>
      </c>
      <c r="T11" s="31" t="n">
        <f t="shared" si="2"/>
        <v>0.0</v>
      </c>
    </row>
    <row r="12" spans="1:20" x14ac:dyDescent="0.25">
      <c r="B12" s="16" t="s">
        <v>275</v>
      </c>
      <c r="C12" s="16" t="s">
        <v>112</v>
      </c>
      <c r="D12" s="31"/>
      <c r="E12" s="31"/>
      <c r="F12" s="31"/>
      <c r="G12" s="31"/>
      <c r="H12" s="31" t="n">
        <f t="shared" si="0"/>
        <v>0.0</v>
      </c>
      <c r="I12" s="35"/>
      <c r="J12" s="31"/>
      <c r="K12" s="31"/>
      <c r="L12" s="31"/>
      <c r="M12" s="31"/>
      <c r="N12" s="31" t="n">
        <f t="shared" si="1"/>
        <v>0.0</v>
      </c>
      <c r="O12" s="31"/>
      <c r="P12" s="31" t="n">
        <f t="shared" si="2"/>
        <v>0.0</v>
      </c>
      <c r="Q12" s="31" t="n">
        <f t="shared" si="2"/>
        <v>0.0</v>
      </c>
      <c r="R12" s="31" t="n">
        <f t="shared" si="2"/>
        <v>0.0</v>
      </c>
      <c r="S12" s="31" t="n">
        <f t="shared" si="2"/>
        <v>0.0</v>
      </c>
      <c r="T12" s="31" t="n">
        <f t="shared" si="2"/>
        <v>0.0</v>
      </c>
    </row>
    <row r="13" spans="1:20" x14ac:dyDescent="0.25">
      <c r="B13" s="36" t="s">
        <v>275</v>
      </c>
      <c r="C13" s="36" t="s">
        <v>113</v>
      </c>
      <c r="D13" s="37" t="n">
        <f>SUM(D7:D12)</f>
        <v>296900.63288455503</v>
      </c>
      <c r="E13" s="37" t="n">
        <f>SUM(E7:E12)</f>
        <v>306868.09862593</v>
      </c>
      <c r="F13" s="37" t="n">
        <f>SUM(F7:F12)</f>
        <v>256762.965643167</v>
      </c>
      <c r="G13" s="37" t="n">
        <f>SUM(G7:G12)</f>
        <v>278994.760470754</v>
      </c>
      <c r="H13" s="37" t="n">
        <f>SUM(H7:H12)</f>
        <v>1139526.457624406</v>
      </c>
      <c r="I13" s="38"/>
      <c r="J13" s="37" t="n">
        <f>SUM(J7:J12)</f>
        <v>296900.63288455503</v>
      </c>
      <c r="K13" s="37" t="n">
        <f>SUM(K7:K12)</f>
        <v>306868.09862593</v>
      </c>
      <c r="L13" s="37" t="n">
        <f>SUM(L7:L12)</f>
        <v>256762.965643167</v>
      </c>
      <c r="M13" s="37" t="n">
        <f>SUM(M7:M12)</f>
        <v>278994.760470754</v>
      </c>
      <c r="N13" s="37" t="n">
        <f>SUM(N7:N12)</f>
        <v>1139526.457624406</v>
      </c>
      <c r="O13" s="37"/>
      <c r="P13" s="37" t="n">
        <f>SUM(P7:P12)</f>
        <v>0.0</v>
      </c>
      <c r="Q13" s="37" t="n">
        <f>SUM(Q7:Q12)</f>
        <v>0.0</v>
      </c>
      <c r="R13" s="37" t="n">
        <f>SUM(R7:R12)</f>
        <v>0.0</v>
      </c>
      <c r="S13" s="37" t="n">
        <f>SUM(S7:S12)</f>
        <v>0.0</v>
      </c>
      <c r="T13" s="37" t="n">
        <f>SUM(T7:T12)</f>
        <v>0.0</v>
      </c>
    </row>
    <row r="14" spans="1:20" ht="10.199999999999999" customHeight="1" x14ac:dyDescent="0.25">
      <c r="B14" s="39" t="s">
        <v>275</v>
      </c>
      <c r="C14" s="39" t="s">
        <v>275</v>
      </c>
      <c r="D14" s="40"/>
      <c r="E14" s="40"/>
      <c r="F14" s="40"/>
      <c r="G14" s="40"/>
      <c r="H14" s="40"/>
      <c r="I14" s="41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 x14ac:dyDescent="0.25">
      <c r="B15" s="16" t="s">
        <v>114</v>
      </c>
      <c r="C15" s="16" t="s">
        <v>107</v>
      </c>
      <c r="D15" s="31" t="n">
        <v>49633.64985969</v>
      </c>
      <c r="E15" s="31" t="n">
        <v>79114.529246618</v>
      </c>
      <c r="F15" s="31" t="n">
        <v>55028.653519307</v>
      </c>
      <c r="G15" s="31" t="n">
        <v>79517.574999999</v>
      </c>
      <c r="H15" s="31" t="n">
        <f t="shared" ref="H15:H20" si="3">SUM(D15:G15)</f>
        <v>263294.40762561397</v>
      </c>
      <c r="I15" s="35"/>
      <c r="J15" s="31" t="n">
        <v>49633.64985969</v>
      </c>
      <c r="K15" s="31" t="n">
        <v>79114.529246618</v>
      </c>
      <c r="L15" s="31" t="n">
        <v>55028.653519307</v>
      </c>
      <c r="M15" s="31" t="n">
        <v>79517.574999999</v>
      </c>
      <c r="N15" s="31" t="n">
        <f t="shared" ref="N15:N20" si="4">SUM(J15:M15)</f>
        <v>263294.40762561397</v>
      </c>
      <c r="O15" s="31"/>
      <c r="P15" s="31" t="n">
        <f t="shared" ref="P15:T20" si="5">D15-J15</f>
        <v>0.0</v>
      </c>
      <c r="Q15" s="31" t="n">
        <f t="shared" si="5"/>
        <v>0.0</v>
      </c>
      <c r="R15" s="31" t="n">
        <f t="shared" si="5"/>
        <v>0.0</v>
      </c>
      <c r="S15" s="31" t="n">
        <f t="shared" si="5"/>
        <v>0.0</v>
      </c>
      <c r="T15" s="31" t="n">
        <f t="shared" si="5"/>
        <v>0.0</v>
      </c>
    </row>
    <row r="16" spans="1:20" x14ac:dyDescent="0.25">
      <c r="B16" s="16" t="s">
        <v>275</v>
      </c>
      <c r="C16" s="16" t="s">
        <v>108</v>
      </c>
      <c r="D16" s="31"/>
      <c r="E16" s="31"/>
      <c r="F16" s="31"/>
      <c r="G16" s="31" t="n">
        <v>5978.294827604</v>
      </c>
      <c r="H16" s="31" t="n">
        <f t="shared" si="3"/>
        <v>5978.294827604</v>
      </c>
      <c r="I16" s="35"/>
      <c r="J16" s="31"/>
      <c r="K16" s="31"/>
      <c r="L16" s="31"/>
      <c r="M16" s="31" t="n">
        <v>5978.294827604</v>
      </c>
      <c r="N16" s="31" t="n">
        <f t="shared" si="4"/>
        <v>5978.294827604</v>
      </c>
      <c r="O16" s="31"/>
      <c r="P16" s="31" t="n">
        <f t="shared" si="5"/>
        <v>0.0</v>
      </c>
      <c r="Q16" s="31" t="n">
        <f t="shared" si="5"/>
        <v>0.0</v>
      </c>
      <c r="R16" s="31" t="n">
        <f t="shared" si="5"/>
        <v>0.0</v>
      </c>
      <c r="S16" s="31" t="n">
        <f t="shared" si="5"/>
        <v>0.0</v>
      </c>
      <c r="T16" s="31" t="n">
        <f t="shared" si="5"/>
        <v>0.0</v>
      </c>
    </row>
    <row r="17" spans="2:20" x14ac:dyDescent="0.25">
      <c r="B17" s="16" t="s">
        <v>275</v>
      </c>
      <c r="C17" s="16" t="s">
        <v>109</v>
      </c>
      <c r="D17" s="31" t="n">
        <v>100.0</v>
      </c>
      <c r="E17" s="31" t="n">
        <v>150.0</v>
      </c>
      <c r="F17" s="31" t="n">
        <v>150.0</v>
      </c>
      <c r="G17" s="31" t="n">
        <v>150.0</v>
      </c>
      <c r="H17" s="31" t="n">
        <f t="shared" si="3"/>
        <v>550.0</v>
      </c>
      <c r="I17" s="35"/>
      <c r="J17" s="31" t="n">
        <v>100.0</v>
      </c>
      <c r="K17" s="31" t="n">
        <v>150.0</v>
      </c>
      <c r="L17" s="31" t="n">
        <v>150.0</v>
      </c>
      <c r="M17" s="31" t="n">
        <v>150.0</v>
      </c>
      <c r="N17" s="31" t="n">
        <f t="shared" si="4"/>
        <v>550.0</v>
      </c>
      <c r="O17" s="31"/>
      <c r="P17" s="31" t="n">
        <f t="shared" si="5"/>
        <v>0.0</v>
      </c>
      <c r="Q17" s="31" t="n">
        <f t="shared" si="5"/>
        <v>0.0</v>
      </c>
      <c r="R17" s="31" t="n">
        <f t="shared" si="5"/>
        <v>0.0</v>
      </c>
      <c r="S17" s="31" t="n">
        <f t="shared" si="5"/>
        <v>0.0</v>
      </c>
      <c r="T17" s="31" t="n">
        <f t="shared" si="5"/>
        <v>0.0</v>
      </c>
    </row>
    <row r="18" spans="2:20" x14ac:dyDescent="0.25">
      <c r="B18" s="16" t="s">
        <v>275</v>
      </c>
      <c r="C18" s="16" t="s">
        <v>110</v>
      </c>
      <c r="D18" s="31"/>
      <c r="E18" s="31"/>
      <c r="F18" s="31"/>
      <c r="G18" s="31"/>
      <c r="H18" s="31" t="n">
        <f t="shared" si="3"/>
        <v>0.0</v>
      </c>
      <c r="I18" s="35"/>
      <c r="J18" s="31"/>
      <c r="K18" s="31"/>
      <c r="L18" s="31"/>
      <c r="M18" s="31"/>
      <c r="N18" s="31" t="n">
        <f t="shared" si="4"/>
        <v>0.0</v>
      </c>
      <c r="O18" s="31"/>
      <c r="P18" s="31" t="n">
        <f t="shared" si="5"/>
        <v>0.0</v>
      </c>
      <c r="Q18" s="31" t="n">
        <f t="shared" si="5"/>
        <v>0.0</v>
      </c>
      <c r="R18" s="31" t="n">
        <f t="shared" si="5"/>
        <v>0.0</v>
      </c>
      <c r="S18" s="31" t="n">
        <f t="shared" si="5"/>
        <v>0.0</v>
      </c>
      <c r="T18" s="31" t="n">
        <f t="shared" si="5"/>
        <v>0.0</v>
      </c>
    </row>
    <row r="19" spans="2:20" x14ac:dyDescent="0.25">
      <c r="B19" s="16" t="s">
        <v>275</v>
      </c>
      <c r="C19" s="16" t="s">
        <v>111</v>
      </c>
      <c r="D19" s="31"/>
      <c r="E19" s="31"/>
      <c r="F19" s="31"/>
      <c r="G19" s="31"/>
      <c r="H19" s="31" t="n">
        <f t="shared" si="3"/>
        <v>0.0</v>
      </c>
      <c r="I19" s="35"/>
      <c r="J19" s="31"/>
      <c r="K19" s="31"/>
      <c r="L19" s="31"/>
      <c r="M19" s="31"/>
      <c r="N19" s="31" t="n">
        <f t="shared" si="4"/>
        <v>0.0</v>
      </c>
      <c r="O19" s="31"/>
      <c r="P19" s="31" t="n">
        <f t="shared" si="5"/>
        <v>0.0</v>
      </c>
      <c r="Q19" s="31" t="n">
        <f t="shared" si="5"/>
        <v>0.0</v>
      </c>
      <c r="R19" s="31" t="n">
        <f t="shared" si="5"/>
        <v>0.0</v>
      </c>
      <c r="S19" s="31" t="n">
        <f t="shared" si="5"/>
        <v>0.0</v>
      </c>
      <c r="T19" s="31" t="n">
        <f t="shared" si="5"/>
        <v>0.0</v>
      </c>
    </row>
    <row r="20" spans="2:20" x14ac:dyDescent="0.25">
      <c r="B20" s="16" t="s">
        <v>275</v>
      </c>
      <c r="C20" s="16" t="s">
        <v>112</v>
      </c>
      <c r="D20" s="31"/>
      <c r="E20" s="31"/>
      <c r="F20" s="31"/>
      <c r="G20" s="31"/>
      <c r="H20" s="31" t="n">
        <f t="shared" si="3"/>
        <v>0.0</v>
      </c>
      <c r="I20" s="35"/>
      <c r="J20" s="31"/>
      <c r="K20" s="31"/>
      <c r="L20" s="31"/>
      <c r="M20" s="31"/>
      <c r="N20" s="31" t="n">
        <f t="shared" si="4"/>
        <v>0.0</v>
      </c>
      <c r="O20" s="31"/>
      <c r="P20" s="31" t="n">
        <f t="shared" si="5"/>
        <v>0.0</v>
      </c>
      <c r="Q20" s="31" t="n">
        <f t="shared" si="5"/>
        <v>0.0</v>
      </c>
      <c r="R20" s="31" t="n">
        <f t="shared" si="5"/>
        <v>0.0</v>
      </c>
      <c r="S20" s="31" t="n">
        <f t="shared" si="5"/>
        <v>0.0</v>
      </c>
      <c r="T20" s="31" t="n">
        <f t="shared" si="5"/>
        <v>0.0</v>
      </c>
    </row>
    <row r="21" spans="2:20" x14ac:dyDescent="0.25">
      <c r="B21" s="36" t="s">
        <v>275</v>
      </c>
      <c r="C21" s="36" t="s">
        <v>115</v>
      </c>
      <c r="D21" s="37" t="n">
        <f>SUM(D15:D20)</f>
        <v>49733.64985969</v>
      </c>
      <c r="E21" s="37" t="n">
        <f>SUM(E15:E20)</f>
        <v>79264.529246618</v>
      </c>
      <c r="F21" s="37" t="n">
        <f>SUM(F15:F20)</f>
        <v>55178.653519307</v>
      </c>
      <c r="G21" s="37" t="n">
        <f>SUM(G15:G20)</f>
        <v>85645.86982760299</v>
      </c>
      <c r="H21" s="37" t="n">
        <f>SUM(H15:H20)</f>
        <v>269822.702453218</v>
      </c>
      <c r="I21" s="38"/>
      <c r="J21" s="37" t="n">
        <f>SUM(J15:J20)</f>
        <v>49733.64985969</v>
      </c>
      <c r="K21" s="37" t="n">
        <f>SUM(K15:K20)</f>
        <v>79264.529246618</v>
      </c>
      <c r="L21" s="37" t="n">
        <f>SUM(L15:L20)</f>
        <v>55178.653519307</v>
      </c>
      <c r="M21" s="37" t="n">
        <f>SUM(M15:M20)</f>
        <v>85645.86982760299</v>
      </c>
      <c r="N21" s="37" t="n">
        <f>SUM(N15:N20)</f>
        <v>269822.702453218</v>
      </c>
      <c r="O21" s="37"/>
      <c r="P21" s="37" t="n">
        <f>SUM(P15:P20)</f>
        <v>0.0</v>
      </c>
      <c r="Q21" s="37" t="n">
        <f>SUM(Q15:Q20)</f>
        <v>0.0</v>
      </c>
      <c r="R21" s="37" t="n">
        <f>SUM(R15:R20)</f>
        <v>0.0</v>
      </c>
      <c r="S21" s="37" t="n">
        <f>SUM(S15:S20)</f>
        <v>0.0</v>
      </c>
      <c r="T21" s="37" t="n">
        <f>SUM(T15:T20)</f>
        <v>0.0</v>
      </c>
    </row>
    <row r="22" spans="2:20" ht="10.199999999999999" customHeight="1" x14ac:dyDescent="0.25">
      <c r="B22" s="39" t="s">
        <v>275</v>
      </c>
      <c r="C22" s="39" t="s">
        <v>275</v>
      </c>
      <c r="D22" s="40"/>
      <c r="E22" s="40"/>
      <c r="F22" s="40"/>
      <c r="G22" s="40"/>
      <c r="H22" s="40"/>
      <c r="I22" s="41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2:20" x14ac:dyDescent="0.25">
      <c r="B23" s="16" t="s">
        <v>123</v>
      </c>
      <c r="C23" s="16" t="s">
        <v>107</v>
      </c>
      <c r="D23" s="31"/>
      <c r="E23" s="31" t="n">
        <v>82768.820689662</v>
      </c>
      <c r="F23" s="31" t="n">
        <v>74037.093103455</v>
      </c>
      <c r="G23" s="31" t="n">
        <v>73236.651724141</v>
      </c>
      <c r="H23" s="31" t="n">
        <f t="shared" ref="H23:H28" si="6">SUM(D23:G23)</f>
        <v>230042.565517258</v>
      </c>
      <c r="I23" s="31"/>
      <c r="J23" s="31"/>
      <c r="K23" s="31" t="n">
        <v>82768.820689662</v>
      </c>
      <c r="L23" s="31" t="n">
        <v>74037.093103455</v>
      </c>
      <c r="M23" s="31" t="n">
        <v>73236.651724141</v>
      </c>
      <c r="N23" s="31" t="n">
        <f t="shared" ref="N23:N28" si="7">SUM(J23:M23)</f>
        <v>230042.565517258</v>
      </c>
      <c r="O23" s="31"/>
      <c r="P23" s="31" t="n">
        <f t="shared" ref="P23:T28" si="8">D23-J23</f>
        <v>0.0</v>
      </c>
      <c r="Q23" s="31" t="n">
        <f t="shared" si="8"/>
        <v>0.0</v>
      </c>
      <c r="R23" s="31" t="n">
        <f t="shared" si="8"/>
        <v>0.0</v>
      </c>
      <c r="S23" s="31" t="n">
        <f t="shared" si="8"/>
        <v>0.0</v>
      </c>
      <c r="T23" s="31" t="n">
        <f t="shared" si="8"/>
        <v>0.0</v>
      </c>
    </row>
    <row r="24" spans="2:20" x14ac:dyDescent="0.25">
      <c r="B24" s="16" t="s">
        <v>275</v>
      </c>
      <c r="C24" s="16" t="s">
        <v>108</v>
      </c>
      <c r="D24" s="31"/>
      <c r="E24" s="31"/>
      <c r="F24" s="31"/>
      <c r="G24" s="31"/>
      <c r="H24" s="31" t="n">
        <f t="shared" si="6"/>
        <v>0.0</v>
      </c>
      <c r="I24" s="31"/>
      <c r="J24" s="31"/>
      <c r="K24" s="31"/>
      <c r="L24" s="31"/>
      <c r="M24" s="31"/>
      <c r="N24" s="31" t="n">
        <f t="shared" si="7"/>
        <v>0.0</v>
      </c>
      <c r="O24" s="31"/>
      <c r="P24" s="31" t="n">
        <f t="shared" si="8"/>
        <v>0.0</v>
      </c>
      <c r="Q24" s="31" t="n">
        <f t="shared" si="8"/>
        <v>0.0</v>
      </c>
      <c r="R24" s="31" t="n">
        <f t="shared" si="8"/>
        <v>0.0</v>
      </c>
      <c r="S24" s="31" t="n">
        <f t="shared" si="8"/>
        <v>0.0</v>
      </c>
      <c r="T24" s="31" t="n">
        <f t="shared" si="8"/>
        <v>0.0</v>
      </c>
    </row>
    <row r="25" spans="2:20" x14ac:dyDescent="0.25">
      <c r="B25" s="16" t="s">
        <v>275</v>
      </c>
      <c r="C25" s="16" t="s">
        <v>109</v>
      </c>
      <c r="D25" s="31"/>
      <c r="E25" s="31"/>
      <c r="F25" s="31"/>
      <c r="G25" s="31"/>
      <c r="H25" s="31" t="n">
        <f t="shared" si="6"/>
        <v>0.0</v>
      </c>
      <c r="I25" s="31"/>
      <c r="J25" s="31"/>
      <c r="K25" s="31"/>
      <c r="L25" s="31"/>
      <c r="M25" s="31"/>
      <c r="N25" s="31" t="n">
        <f t="shared" si="7"/>
        <v>0.0</v>
      </c>
      <c r="O25" s="31"/>
      <c r="P25" s="31" t="n">
        <f t="shared" si="8"/>
        <v>0.0</v>
      </c>
      <c r="Q25" s="31" t="n">
        <f t="shared" si="8"/>
        <v>0.0</v>
      </c>
      <c r="R25" s="31" t="n">
        <f t="shared" si="8"/>
        <v>0.0</v>
      </c>
      <c r="S25" s="31" t="n">
        <f t="shared" si="8"/>
        <v>0.0</v>
      </c>
      <c r="T25" s="31" t="n">
        <f t="shared" si="8"/>
        <v>0.0</v>
      </c>
    </row>
    <row r="26" spans="2:20" x14ac:dyDescent="0.25">
      <c r="B26" s="16" t="s">
        <v>275</v>
      </c>
      <c r="C26" s="16" t="s">
        <v>110</v>
      </c>
      <c r="D26" s="31"/>
      <c r="E26" s="31"/>
      <c r="F26" s="31"/>
      <c r="G26" s="31"/>
      <c r="H26" s="31" t="n">
        <f t="shared" si="6"/>
        <v>0.0</v>
      </c>
      <c r="I26" s="31"/>
      <c r="J26" s="31"/>
      <c r="K26" s="31"/>
      <c r="L26" s="31"/>
      <c r="M26" s="31"/>
      <c r="N26" s="31" t="n">
        <f t="shared" si="7"/>
        <v>0.0</v>
      </c>
      <c r="O26" s="31"/>
      <c r="P26" s="31" t="n">
        <f t="shared" si="8"/>
        <v>0.0</v>
      </c>
      <c r="Q26" s="31" t="n">
        <f t="shared" si="8"/>
        <v>0.0</v>
      </c>
      <c r="R26" s="31" t="n">
        <f t="shared" si="8"/>
        <v>0.0</v>
      </c>
      <c r="S26" s="31" t="n">
        <f t="shared" si="8"/>
        <v>0.0</v>
      </c>
      <c r="T26" s="31" t="n">
        <f t="shared" si="8"/>
        <v>0.0</v>
      </c>
    </row>
    <row r="27" spans="2:20" x14ac:dyDescent="0.25">
      <c r="B27" s="16" t="s">
        <v>275</v>
      </c>
      <c r="C27" s="16" t="s">
        <v>111</v>
      </c>
      <c r="D27" s="31"/>
      <c r="E27" s="31"/>
      <c r="F27" s="31"/>
      <c r="G27" s="31"/>
      <c r="H27" s="31" t="n">
        <f t="shared" si="6"/>
        <v>0.0</v>
      </c>
      <c r="I27" s="31"/>
      <c r="J27" s="31"/>
      <c r="K27" s="31"/>
      <c r="L27" s="31"/>
      <c r="M27" s="31"/>
      <c r="N27" s="31" t="n">
        <f t="shared" si="7"/>
        <v>0.0</v>
      </c>
      <c r="O27" s="31"/>
      <c r="P27" s="31" t="n">
        <f t="shared" si="8"/>
        <v>0.0</v>
      </c>
      <c r="Q27" s="31" t="n">
        <f t="shared" si="8"/>
        <v>0.0</v>
      </c>
      <c r="R27" s="31" t="n">
        <f t="shared" si="8"/>
        <v>0.0</v>
      </c>
      <c r="S27" s="31" t="n">
        <f t="shared" si="8"/>
        <v>0.0</v>
      </c>
      <c r="T27" s="31" t="n">
        <f t="shared" si="8"/>
        <v>0.0</v>
      </c>
    </row>
    <row r="28" spans="2:20" x14ac:dyDescent="0.25">
      <c r="B28" s="16" t="s">
        <v>275</v>
      </c>
      <c r="C28" s="16" t="s">
        <v>112</v>
      </c>
      <c r="D28" s="31"/>
      <c r="E28" s="31"/>
      <c r="F28" s="31"/>
      <c r="G28" s="31"/>
      <c r="H28" s="31" t="n">
        <f t="shared" si="6"/>
        <v>0.0</v>
      </c>
      <c r="I28" s="31"/>
      <c r="J28" s="31"/>
      <c r="K28" s="31"/>
      <c r="L28" s="31"/>
      <c r="M28" s="31"/>
      <c r="N28" s="31" t="n">
        <f t="shared" si="7"/>
        <v>0.0</v>
      </c>
      <c r="O28" s="31"/>
      <c r="P28" s="31" t="n">
        <f t="shared" si="8"/>
        <v>0.0</v>
      </c>
      <c r="Q28" s="31" t="n">
        <f t="shared" si="8"/>
        <v>0.0</v>
      </c>
      <c r="R28" s="31" t="n">
        <f t="shared" si="8"/>
        <v>0.0</v>
      </c>
      <c r="S28" s="31" t="n">
        <f t="shared" si="8"/>
        <v>0.0</v>
      </c>
      <c r="T28" s="31" t="n">
        <f t="shared" si="8"/>
        <v>0.0</v>
      </c>
    </row>
    <row r="29" spans="2:20" x14ac:dyDescent="0.25">
      <c r="B29" s="16" t="s">
        <v>275</v>
      </c>
      <c r="C29" s="36" t="s">
        <v>124</v>
      </c>
      <c r="D29" s="37" t="n">
        <f>SUM(D23:D28)</f>
        <v>0.0</v>
      </c>
      <c r="E29" s="37" t="n">
        <f>SUM(E23:E28)</f>
        <v>82768.820689662</v>
      </c>
      <c r="F29" s="37" t="n">
        <f>SUM(F23:F28)</f>
        <v>74037.093103455</v>
      </c>
      <c r="G29" s="37" t="n">
        <f>SUM(G23:G28)</f>
        <v>73236.651724141</v>
      </c>
      <c r="H29" s="37" t="n">
        <f>SUM(H23:H28)</f>
        <v>230042.565517258</v>
      </c>
      <c r="I29" s="37"/>
      <c r="J29" s="37" t="n">
        <f>SUM(J23:J28)</f>
        <v>0.0</v>
      </c>
      <c r="K29" s="37" t="n">
        <f>SUM(K23:K28)</f>
        <v>82768.820689662</v>
      </c>
      <c r="L29" s="37" t="n">
        <f>SUM(L23:L28)</f>
        <v>74037.093103455</v>
      </c>
      <c r="M29" s="37" t="n">
        <f>SUM(M23:M28)</f>
        <v>73236.651724141</v>
      </c>
      <c r="N29" s="37" t="n">
        <f>SUM(N23:N28)</f>
        <v>230042.565517258</v>
      </c>
      <c r="O29" s="37"/>
      <c r="P29" s="37" t="n">
        <f>SUM(P23:P28)</f>
        <v>0.0</v>
      </c>
      <c r="Q29" s="37" t="n">
        <f>SUM(Q23:Q28)</f>
        <v>0.0</v>
      </c>
      <c r="R29" s="37" t="n">
        <f>SUM(R23:R28)</f>
        <v>0.0</v>
      </c>
      <c r="S29" s="37" t="n">
        <f>SUM(S23:S28)</f>
        <v>0.0</v>
      </c>
      <c r="T29" s="37" t="n">
        <f>SUM(T23:T28)</f>
        <v>0.0</v>
      </c>
    </row>
    <row r="30" spans="2:20" ht="10.199999999999999" customHeight="1" x14ac:dyDescent="0.25">
      <c r="B30" s="39" t="s">
        <v>275</v>
      </c>
      <c r="C30" s="39" t="s">
        <v>275</v>
      </c>
      <c r="D30" s="40"/>
      <c r="E30" s="40"/>
      <c r="F30" s="40"/>
      <c r="G30" s="40"/>
      <c r="H30" s="40"/>
      <c r="I30" s="41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</row>
    <row r="31" spans="2:20" x14ac:dyDescent="0.25">
      <c r="B31" s="36" t="s">
        <v>275</v>
      </c>
      <c r="C31" s="36" t="s">
        <v>116</v>
      </c>
      <c r="D31" s="37" t="n">
        <f>D13+D21+D29</f>
        <v>346634.282744245</v>
      </c>
      <c r="E31" s="37" t="n">
        <f>E13+E21+E29</f>
        <v>468901.44856221</v>
      </c>
      <c r="F31" s="37" t="n">
        <f>F13+F21+F29</f>
        <v>385978.712265929</v>
      </c>
      <c r="G31" s="37" t="n">
        <f>G13+G21+G29</f>
        <v>437877.28202249797</v>
      </c>
      <c r="H31" s="37" t="n">
        <f>H13+H21+H29</f>
        <v>1639391.725594882</v>
      </c>
      <c r="I31" s="37"/>
      <c r="J31" s="37" t="n">
        <f>J13+J21+J29</f>
        <v>346634.282744245</v>
      </c>
      <c r="K31" s="37" t="n">
        <f>K13+K21+K29</f>
        <v>468901.44856221</v>
      </c>
      <c r="L31" s="37" t="n">
        <f>L13+L21+L29</f>
        <v>385978.712265929</v>
      </c>
      <c r="M31" s="37" t="n">
        <f>M13+M21+M29</f>
        <v>437877.28202249797</v>
      </c>
      <c r="N31" s="37" t="n">
        <f>N13+N21+N29</f>
        <v>1639391.725594882</v>
      </c>
      <c r="O31" s="37"/>
      <c r="P31" s="37" t="n">
        <f>P13+P21+P29</f>
        <v>0.0</v>
      </c>
      <c r="Q31" s="37" t="n">
        <f>Q13+Q21+Q29</f>
        <v>0.0</v>
      </c>
      <c r="R31" s="37" t="n">
        <f>R13+R21+R29</f>
        <v>0.0</v>
      </c>
      <c r="S31" s="37" t="n">
        <f>S13+S21+S29</f>
        <v>0.0</v>
      </c>
      <c r="T31" s="37" t="n">
        <f>T13+T21+T29</f>
        <v>0.0</v>
      </c>
    </row>
    <row r="32" spans="2:20" ht="11.05" customHeight="1" x14ac:dyDescent="0.25"/>
    <row r="33" spans="2:2" x14ac:dyDescent="0.25">
      <c r="B33" s="43" t="s">
        <v>446</v>
      </c>
    </row>
    <row r="35" spans="2:2" x14ac:dyDescent="0.25">
      <c r="B35" s="42"/>
    </row>
  </sheetData>
  <mergeCells count="4">
    <mergeCell ref="D4:H4"/>
    <mergeCell ref="J4:N4"/>
    <mergeCell ref="P4:T4"/>
    <mergeCell ref="A1:E1"/>
  </mergeCells>
  <pageMargins left="0.7" right="0.7" top="0.75" bottom="0.75" header="0.3" footer="0.3"/>
  <customProperties>
    <customPr name="TGK_SHEET_ID" r:id="rId1"/>
  </customProperties>
  <drawing r:id="rId2"/>
</worksheet>
</file>

<file path=xl/worksheets/sheet13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/>
  </sheetData>
  <pageMargins bottom="0.75" footer="0.3" header="0.3" left="0.7" right="0.7" top="0.75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item1.xml><?xml version="1.0" encoding="utf-8"?>
<easyPacket version="1.0">
  <header version="5.2.0.0.dev.20151222131742-SNAPSHOT"/>
  <data>
    <be refId="0" clsId="MultiTemplateReportVO">
      <s key="code">K001</s>
      <a key="desc" refId="1" ln="4" eid="SYS_STR">
        <s>Snapshot Comparison Report Package</s>
        <s>Snapshot Comparison Report Package</s>
        <nl/>
        <s>Snapshot Comparison Report Package</s>
      </a>
      <d key="dateStyleApplied">1451392354178</d>
      <be key="options" refId="2" clsId="OpzioniProspetto">
        <b key="lockSheets">N</b>
        <s key="separator"> - 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S</b>
        <b key="forceExportReport">N</b>
        <i key="colorEditRGB">13434879</i>
        <i key="colorProtectedRGB">16777164</i>
        <i key="colorIRGB">13434828</i>
        <i key="colorEditTransactionCurencyRGB">13434879</i>
        <e key="parallelDegree" refId="3" id="ParallelDegreeEnum">D</e>
        <e key="parallelizeWhat" refId="4" id="ParallWhatEnum">MQ</e>
        <s key="styleSheetCode">TGK_01</s>
        <b key="sheetNamesWithCode">N</b>
        <b key="eventsWithUnlockedSheets">N</b>
        <e key="includeTemplateInSheetName" refId="5" id="IncludeTemplateInSheetNameEnum">0</e>
        <b key="enableDrillDown">S</b>
        <u key="expControlloThreshold">1E-09</u>
        <b key="disableTGKFunctions">N</b>
        <e key="validateTransactional" refId="6" id="ValidateTransactionalEnum">C</e>
        <e key="headManipPosition" refId="7" id="HeaderManipulatorPositionEnum">A</e>
        <e key="repEngine" refId="8" id="RepEngineEnum">CFG</e>
        <i key="grainSize">1000</i>
        <i key="dataLoadPSize">4</i>
        <i key="dataProcPSize">6</i>
      </be>
      <m key="templates" refId="9" keid="SYS_STR" veid="Reporting.com.tagetik.report.IReportTemplateVO,Reporting">
        <key>
          <s>Template03</s>
        </key>
        <val>
          <be refId="10" clsId="ReportTemplateVO">
            <s key="code">Template03</s>
            <s key="desc">Comp. Analysis</s>
            <m key="matrices" refId="11" keid="SYS_STR" veid="Reporting.com.tagetik.tables.IMatrixPositionBlockVO,Reporting">
              <key>
                <s>Comp. Analysis by Quarter</s>
              </key>
              <val>
                <be refId="12" clsId="MatrixPositionBlockVO">
                  <s key="positionID">Comp. Analysis by Quarter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Rows</s>
                    <i key="index">0</i>
                    <l key="children" refId="24" ln="6" eid="Framework.com.tagetik.trees.INode,framework">
                      <be refId="25" clsId="FilterNode">
                        <l key="dimensionOids" refId="26" ln="1" eid="DimensionOid">
                          <cust clsId="DimensionOid">44455354335F3036-4E-3031---</cust>
                        </l>
                        <l key="AdHocParamDimensionOids" refId="27" ln="0" eid="DimensionOid"/>
                        <be key="data" refId="28" clsId="FilterNodeData">
                          <ref key="filterNode" refId="25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30" ln="7" eid="Framework.com.tagetik.trees.INode,framework">
                          <be refId="31" clsId="FilterNode">
                            <l key="dimensionOids" refId="32" ln="1" eid="DimensionOid">
                              <cust clsId="DimensionOid">44455354315F3031-4E-583031---</cust>
                            </l>
                            <l key="AdHocParamDimensionOids" refId="33" ln="0" eid="DimensionOid"/>
                            <be key="data" refId="34" clsId="FilterNodeData">
                              <ref key="filterNode" refId="3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25"/>
                          </be>
                          <be refId="36" clsId="FilterNode">
                            <l key="dimensionOids" refId="37" ln="1" eid="DimensionOid">
                              <cust clsId="DimensionOid">44455354315F3031-4E-583032---</cust>
                            </l>
                            <l key="AdHocParamDimensionOids" refId="38" ln="0" eid="DimensionOid"/>
                            <be key="data" refId="39" clsId="FilterNodeData">
                              <ref key="filterNode" refId="3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i key="index">0</i>
                            <ref key="parent" refId="25"/>
                          </be>
                          <be refId="41" clsId="FilterNode">
                            <l key="dimensionOids" refId="42" ln="1" eid="DimensionOid">
                              <cust clsId="DimensionOid">44455354315F3031-4E-583033---</cust>
                            </l>
                            <l key="AdHocParamDimensionOids" refId="43" ln="0" eid="DimensionOid"/>
                            <be key="data" refId="44" clsId="FilterNodeData">
                              <ref key="filterNode" refId="4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i key="index">0</i>
                            <ref key="parent" refId="25"/>
                          </be>
                          <be refId="46" clsId="FilterNode">
                            <l key="dimensionOids" refId="47" ln="1" eid="DimensionOid">
                              <cust clsId="DimensionOid">44455354315F3031-4E-583034---</cust>
                            </l>
                            <l key="AdHocParamDimensionOids" refId="48" ln="0" eid="DimensionOid"/>
                            <be key="data" refId="49" clsId="FilterNodeData">
                              <ref key="filterNode" refId="4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7</cust>
                            <i key="index">0</i>
                            <ref key="parent" refId="25"/>
                          </be>
                          <be refId="51" clsId="FilterNode">
                            <l key="dimensionOids" refId="52" ln="1" eid="DimensionOid">
                              <cust clsId="DimensionOid">44455354315F3031-4E-583035---</cust>
                            </l>
                            <l key="AdHocParamDimensionOids" refId="53" ln="0" eid="DimensionOid"/>
                            <be key="data" refId="54" clsId="FilterNodeData">
                              <ref key="filterNode" refId="5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i key="index">0</i>
                            <ref key="parent" refId="25"/>
                          </be>
                          <be refId="56" clsId="FilterNode">
                            <l key="dimensionOids" refId="57" ln="1" eid="DimensionOid">
                              <cust clsId="DimensionOid">44455354315F3031-4E-583036---</cust>
                            </l>
                            <l key="AdHocParamDimensionOids" refId="58" ln="0" eid="DimensionOid"/>
                            <be key="data" refId="59" clsId="FilterNodeData">
                              <ref key="filterNode" refId="5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i key="index">0</i>
                            <ref key="parent" refId="25"/>
                          </be>
                          <be refId="61" clsId="FilterNode">
                            <l key="dimensionOids" refId="62" ln="0" eid="DimensionOid"/>
                            <l key="AdHocParamDimensionOids" refId="63" ln="0" eid="DimensionOid"/>
                            <be key="data" refId="64" clsId="FilterNodeData">
                              <ref key="filterNode" refId="61"/>
                              <s key="dim">DEST1_01</s>
                              <i key="segmentLevel">0</i>
                              <ref key="segment" refId="17"/>
                              <be key="reportingFormula" refId="65" clsId="ReportingFormula">
                                <b key="serverFormula">N</b>
                                <b key="formulaRule">N</b>
                                <s key="formula">sum({4}:{9})</s>
                              </be>
                              <be key="dictionaryHeader" refId="66" clsId="MultiDesc">
                                <a key="desc" refId="67" ln="4" eid="SYS_STR">
                                  <s>Total Existing</s>
                                  <s>Total Existing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6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16</cust>
                            <s key="cod">PH</s>
                            <s key="desc"/>
                            <i key="index">0</i>
                            <ref key="parent" refId="25"/>
                          </be>
                        </l>
                        <ref key="parent" refId="13"/>
                      </be>
                      <be refId="69" clsId="FilterNode">
                        <l key="dimensionOids" refId="70" ln="0" eid="DimensionOid"/>
                        <l key="AdHocParamDimensionOids" refId="71" ln="0" eid="DimensionOid"/>
                        <be key="data" refId="72" clsId="FilterNodeData">
                          <ref key="filterNode" refId="69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s key="cod">PH</s>
                        <s key="desc"/>
                        <i key="index">0</i>
                        <l key="children" refId="74" ln="1" eid="Framework.com.tagetik.trees.INode,framework">
                          <be refId="75" clsId="FilterNode">
                            <l key="dimensionOids" refId="76" ln="0" eid="DimensionOid"/>
                            <l key="AdHocParamDimensionOids" refId="77" ln="0" eid="DimensionOid"/>
                            <be key="data" refId="78" clsId="FilterNodeData">
                              <ref key="filterNode" refId="75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7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</cust>
                            <s key="cod">PH</s>
                            <s key="desc"/>
                            <i key="index">0</i>
                            <ref key="parent" refId="69"/>
                          </be>
                        </l>
                        <ref key="parent" refId="13"/>
                      </be>
                      <be refId="80" clsId="FilterNode">
                        <l key="dimensionOids" refId="81" ln="1" eid="DimensionOid">
                          <cust clsId="DimensionOid">44455354335F3036-4E-3032---</cust>
                        </l>
                        <l key="AdHocParamDimensionOids" refId="82" ln="0" eid="DimensionOid"/>
                        <be key="data" refId="83" clsId="FilterNodeData">
                          <ref key="filterNode" refId="80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l key="children" refId="85" ln="7" eid="Framework.com.tagetik.trees.INode,framework">
                          <be refId="86" clsId="FilterNode">
                            <l key="dimensionOids" refId="87" ln="1" eid="DimensionOid">
                              <cust clsId="DimensionOid">44455354315F3031-4E-583031---</cust>
                            </l>
                            <l key="AdHocParamDimensionOids" refId="88" ln="0" eid="DimensionOid"/>
                            <be key="data" refId="89" clsId="FilterNodeData">
                              <ref key="filterNode" refId="8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i key="index">0</i>
                            <ref key="parent" refId="80"/>
                          </be>
                          <be refId="91" clsId="FilterNode">
                            <l key="dimensionOids" refId="92" ln="1" eid="DimensionOid">
                              <cust clsId="DimensionOid">44455354315F3031-4E-583032---</cust>
                            </l>
                            <l key="AdHocParamDimensionOids" refId="93" ln="0" eid="DimensionOid"/>
                            <be key="data" refId="94" clsId="FilterNodeData">
                              <ref key="filterNode" refId="9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i key="index">0</i>
                            <ref key="parent" refId="80"/>
                          </be>
                          <be refId="96" clsId="FilterNode">
                            <l key="dimensionOids" refId="97" ln="1" eid="DimensionOid">
                              <cust clsId="DimensionOid">44455354315F3031-4E-583033---</cust>
                            </l>
                            <l key="AdHocParamDimensionOids" refId="98" ln="0" eid="DimensionOid"/>
                            <be key="data" refId="99" clsId="FilterNodeData">
                              <ref key="filterNode" refId="9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i key="index">0</i>
                            <ref key="parent" refId="80"/>
                          </be>
                          <be refId="101" clsId="FilterNode">
                            <l key="dimensionOids" refId="102" ln="1" eid="DimensionOid">
                              <cust clsId="DimensionOid">44455354315F3031-4E-583034---</cust>
                            </l>
                            <l key="AdHocParamDimensionOids" refId="103" ln="0" eid="DimensionOid"/>
                            <be key="data" refId="104" clsId="FilterNodeData">
                              <ref key="filterNode" refId="10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i key="index">0</i>
                            <ref key="parent" refId="80"/>
                          </be>
                          <be refId="106" clsId="FilterNode">
                            <l key="dimensionOids" refId="107" ln="1" eid="DimensionOid">
                              <cust clsId="DimensionOid">44455354315F3031-4E-583035---</cust>
                            </l>
                            <l key="AdHocParamDimensionOids" refId="108" ln="0" eid="DimensionOid"/>
                            <be key="data" refId="109" clsId="FilterNodeData">
                              <ref key="filterNode" refId="10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i key="index">0</i>
                            <ref key="parent" refId="80"/>
                          </be>
                          <be refId="111" clsId="FilterNode">
                            <l key="dimensionOids" refId="112" ln="1" eid="DimensionOid">
                              <cust clsId="DimensionOid">44455354315F3031-4E-583036---</cust>
                            </l>
                            <l key="AdHocParamDimensionOids" refId="113" ln="0" eid="DimensionOid"/>
                            <be key="data" refId="114" clsId="FilterNodeData">
                              <ref key="filterNode" refId="11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i key="index">0</i>
                            <ref key="parent" refId="80"/>
                          </be>
                          <be refId="116" clsId="FilterNode">
                            <l key="dimensionOids" refId="117" ln="0" eid="DimensionOid"/>
                            <l key="AdHocParamDimensionOids" refId="118" ln="0" eid="DimensionOid"/>
                            <be key="data" refId="119" clsId="FilterNodeData">
                              <ref key="filterNode" refId="116"/>
                              <s key="dim">DEST1_01</s>
                              <i key="segmentLevel">0</i>
                              <ref key="segment" refId="17"/>
                              <be key="reportingFormula" refId="120" clsId="ReportingFormula">
                                <b key="serverFormula">N</b>
                                <b key="formulaRule">N</b>
                                <s key="formula">sum({10}:{15})</s>
                              </be>
                              <be key="dictionaryHeader" refId="121" clsId="MultiDesc">
                                <a key="desc" refId="122" ln="4" eid="SYS_STR">
                                  <s>Total New Hires</s>
                                  <s>Total New Hires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</cust>
                            <s key="cod">PH</s>
                            <s key="desc"/>
                            <i key="index">0</i>
                            <ref key="parent" refId="80"/>
                          </be>
                        </l>
                        <ref key="parent" refId="13"/>
                      </be>
                      <be refId="124" clsId="FilterNode">
                        <l key="dimensionOids" refId="125" ln="0" eid="DimensionOid"/>
                        <l key="AdHocParamDimensionOids" refId="126" ln="0" eid="DimensionOid"/>
                        <be key="data" refId="127" clsId="FilterNodeData">
                          <ref key="filterNode" refId="124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>PH</s>
                        <s key="desc"/>
                        <i key="index">0</i>
                        <l key="children" refId="129" ln="1" eid="Framework.com.tagetik.trees.INode,framework">
                          <be refId="130" clsId="FilterNode">
                            <l key="dimensionOids" refId="131" ln="0" eid="DimensionOid"/>
                            <l key="AdHocParamDimensionOids" refId="132" ln="0" eid="DimensionOid"/>
                            <be key="data" refId="133" clsId="FilterNodeData">
                              <ref key="filterNode" refId="130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13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</cust>
                            <s key="cod">PH</s>
                            <s key="desc"/>
                            <i key="index">0</i>
                            <ref key="parent" refId="124"/>
                          </be>
                        </l>
                        <ref key="parent" refId="13"/>
                      </be>
                      <be refId="135" clsId="FilterNode">
                        <l key="dimensionOids" refId="136" ln="1" eid="DimensionOid">
                          <cust clsId="DimensionOid">44455354335F3036-4E-3033---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DEST3_06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24</cust>
                        <i key="index">0</i>
                        <l key="children" refId="140" ln="7" eid="Framework.com.tagetik.trees.INode,framework">
                          <be refId="141" clsId="FilterNode">
                            <l key="dimensionOids" refId="142" ln="1" eid="DimensionOid">
                              <cust clsId="DimensionOid">44455354315F3031-4E-583031---</cust>
                            </l>
                            <l key="AdHocParamDimensionOids" refId="143" ln="0" eid="DimensionOid"/>
                            <be key="data" refId="144" clsId="FilterNodeData">
                              <ref key="filterNode" refId="14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25</cust>
                            <i key="index">0</i>
                            <ref key="parent" refId="135"/>
                          </be>
                          <be refId="146" clsId="FilterNode">
                            <l key="dimensionOids" refId="147" ln="1" eid="DimensionOid">
                              <cust clsId="DimensionOid">44455354315F3031-4E-583032---</cust>
                            </l>
                            <l key="AdHocParamDimensionOids" refId="148" ln="0" eid="DimensionOid"/>
                            <be key="data" refId="149" clsId="FilterNodeData">
                              <ref key="filterNode" refId="14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26</cust>
                            <i key="index">0</i>
                            <ref key="parent" refId="135"/>
                          </be>
                          <be refId="151" clsId="FilterNode">
                            <l key="dimensionOids" refId="152" ln="1" eid="DimensionOid">
                              <cust clsId="DimensionOid">44455354315F3031-4E-583033---</cust>
                            </l>
                            <l key="AdHocParamDimensionOids" refId="153" ln="0" eid="DimensionOid"/>
                            <be key="data" refId="154" clsId="FilterNodeData">
                              <ref key="filterNode" refId="15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5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27</cust>
                            <i key="index">0</i>
                            <ref key="parent" refId="135"/>
                          </be>
                          <be refId="156" clsId="FilterNode">
                            <l key="dimensionOids" refId="157" ln="1" eid="DimensionOid">
                              <cust clsId="DimensionOid">44455354315F3031-4E-583034---</cust>
                            </l>
                            <l key="AdHocParamDimensionOids" refId="158" ln="0" eid="DimensionOid"/>
                            <be key="data" refId="159" clsId="FilterNodeData">
                              <ref key="filterNode" refId="15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28</cust>
                            <i key="index">0</i>
                            <ref key="parent" refId="135"/>
                          </be>
                          <be refId="161" clsId="FilterNode">
                            <l key="dimensionOids" refId="162" ln="1" eid="DimensionOid">
                              <cust clsId="DimensionOid">44455354315F3031-4E-583035---</cust>
                            </l>
                            <l key="AdHocParamDimensionOids" refId="163" ln="0" eid="DimensionOid"/>
                            <be key="data" refId="164" clsId="FilterNodeData">
                              <ref key="filterNode" refId="161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29</cust>
                            <i key="index">0</i>
                            <ref key="parent" refId="135"/>
                          </be>
                          <be refId="166" clsId="FilterNode">
                            <l key="dimensionOids" refId="167" ln="1" eid="DimensionOid">
                              <cust clsId="DimensionOid">44455354315F3031-4E-583036---</cust>
                            </l>
                            <l key="AdHocParamDimensionOids" refId="168" ln="0" eid="DimensionOid"/>
                            <be key="data" refId="169" clsId="FilterNodeData">
                              <ref key="filterNode" refId="166"/>
                              <s key="dim">DEST1_01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30</cust>
                            <i key="index">0</i>
                            <ref key="parent" refId="135"/>
                          </be>
                          <be refId="171" clsId="FilterNode">
                            <l key="dimensionOids" refId="172" ln="0" eid="DimensionOid"/>
                            <l key="AdHocParamDimensionOids" refId="173" ln="0" eid="DimensionOid"/>
                            <be key="data" refId="174" clsId="FilterNodeData">
                              <ref key="filterNode" refId="171"/>
                              <s key="dim">DEST1_01</s>
                              <i key="segmentLevel">0</i>
                              <ref key="segment" refId="17"/>
                              <be key="reportingFormula" refId="175" clsId="ReportingFormula">
                                <b key="serverFormula">N</b>
                                <b key="formulaRule">N</b>
                                <s key="formula">sum({25}:{30})</s>
                              </be>
                              <be key="dictionaryHeader" refId="176" clsId="MultiDesc">
                                <a key="desc" refId="177" ln="4" eid="SYS_STR">
                                  <s>Total New Positions</s>
                                  <s>Total New Positions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7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31</cust>
                            <s key="cod">PH</s>
                            <s key="desc"/>
                            <i key="index">0</i>
                            <ref key="parent" refId="135"/>
                          </be>
                        </l>
                        <ref key="parent" refId="13"/>
                      </be>
                      <be refId="179" clsId="FilterNode">
                        <l key="dimensionOids" refId="180" ln="0" eid="DimensionOid"/>
                        <l key="AdHocParamDimensionOids" refId="181" ln="0" eid="DimensionOid"/>
                        <be key="data" refId="182" clsId="FilterNodeData">
                          <ref key="filterNode" refId="179"/>
                          <s key="dim">DEST3_06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</cust>
                        <s key="cod">PH</s>
                        <s key="desc"/>
                        <i key="index">0</i>
                        <l key="children" refId="184" ln="2" eid="Framework.com.tagetik.trees.INode,framework">
                          <be refId="185" clsId="FilterNode">
                            <l key="dimensionOids" refId="186" ln="0" eid="DimensionOid"/>
                            <l key="AdHocParamDimensionOids" refId="187" ln="0" eid="DimensionOid"/>
                            <be key="data" refId="188" clsId="FilterNodeData">
                              <ref key="filterNode" refId="185"/>
                              <s key="dim">DEST1_01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18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32</cust>
                            <s key="cod">PH</s>
                            <s key="desc"/>
                            <i key="index">0</i>
                            <ref key="parent" refId="179"/>
                          </be>
                          <be refId="190" clsId="FilterNode">
                            <l key="dimensionOids" refId="191" ln="0" eid="DimensionOid"/>
                            <l key="AdHocParamDimensionOids" refId="192" ln="0" eid="DimensionOid"/>
                            <be key="data" refId="193" clsId="FilterNodeData">
                              <ref key="filterNode" refId="190"/>
                              <s key="dim">DEST1_01</s>
                              <i key="segmentLevel">0</i>
                              <ref key="segment" refId="17"/>
                              <be key="reportingFormula" refId="194" clsId="ReportingFormula">
                                <b key="serverFormula">N</b>
                                <b key="formulaRule">N</b>
                                <s key="formula">{16}+{19}+{31}</s>
                              </be>
                              <be key="dictionaryHeader" refId="195" clsId="MultiDesc">
                                <a key="desc" refId="196" ln="4" eid="SYS_STR">
                                  <s>TOTAL EMPLOYEES</s>
                                  <s>TOTAL EMPLOYEES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19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23</cust>
                            <s key="cod">PH</s>
                            <s key="desc"/>
                            <i key="index">0</i>
                            <ref key="parent" refId="179"/>
                          </be>
                        </l>
                        <ref key="parent" refId="13"/>
                      </be>
                    </l>
                  </be>
                  <be key="columns" refId="198" clsId="FilterNode">
                    <l key="dimensionOids" refId="199" ln="0" eid="DimensionOid"/>
                    <l key="AdHocParamDimensionOids" refId="200" ln="0" eid="DimensionOid"/>
                    <be key="data" refId="201" clsId="FilterNodeData">
                      <ref key="filterNode" refId="198"/>
                      <i key="segmentLevel">0</i>
                      <ref key="segment" refId="17"/>
                      <b key="placeHolder">N</b>
                      <ref key="weight" refId="18"/>
                      <be key="textMatchingCondition" refId="2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Columns</s>
                    <i key="index">0</i>
                    <l key="children" refId="203" ln="5" eid="Framework.com.tagetik.trees.INode,framework">
                      <be refId="204" clsId="FilterNode">
                        <l key="dimensionOids" refId="205" ln="1" eid="DimensionOid">
                          <cust clsId="DimensionOid">534345-45-5350424447--50-</cust>
                        </l>
                        <l key="AdHocParamDimensionOids" refId="206" ln="0" eid="DimensionOid"/>
                        <be key="data" refId="207" clsId="FilterNodeData">
                          <ref key="filterNode" refId="20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l key="children" refId="209" ln="5" eid="Framework.com.tagetik.trees.INode,framework">
                          <be refId="210" clsId="FilterNode">
                            <l key="dimensionOids" refId="211" ln="1" eid="DimensionOid">
                              <cust clsId="DimensionOid">504552-45-3033---</cust>
                            </l>
                            <l key="AdHocParamDimensionOids" refId="212" ln="0" eid="DimensionOid"/>
                            <be key="data" refId="213" clsId="FilterNodeData">
                              <ref key="filterNode" refId="21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1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i key="index">0</i>
                            <ref key="parent" refId="204"/>
                          </be>
                          <be refId="215" clsId="FilterNode">
                            <l key="dimensionOids" refId="216" ln="1" eid="DimensionOid">
                              <cust clsId="DimensionOid">504552-45-3036---</cust>
                            </l>
                            <l key="AdHocParamDimensionOids" refId="217" ln="0" eid="DimensionOid"/>
                            <be key="data" refId="218" clsId="FilterNodeData">
                              <ref key="filterNode" refId="21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1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ref key="parent" refId="204"/>
                          </be>
                          <be refId="220" clsId="FilterNode">
                            <l key="dimensionOids" refId="221" ln="1" eid="DimensionOid">
                              <cust clsId="DimensionOid">504552-45-3039---</cust>
                            </l>
                            <l key="AdHocParamDimensionOids" refId="222" ln="0" eid="DimensionOid"/>
                            <be key="data" refId="223" clsId="FilterNodeData">
                              <ref key="filterNode" refId="22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204"/>
                          </be>
                          <be refId="225" clsId="FilterNode">
                            <l key="dimensionOids" refId="226" ln="1" eid="DimensionOid">
                              <cust clsId="DimensionOid">504552-45-3132---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i key="index">0</i>
                            <ref key="parent" refId="204"/>
                          </be>
                          <be refId="230" clsId="FilterNode">
                            <l key="dimensionOids" refId="231" ln="0" eid="DimensionOid"/>
                            <l key="AdHocParamDimensionOids" refId="232" ln="0" eid="DimensionOid"/>
                            <be key="data" refId="233" clsId="FilterNodeData">
                              <ref key="filterNode" refId="230"/>
                              <s key="dim">PER</s>
                              <i key="segmentLevel">0</i>
                              <ref key="segment" refId="17"/>
                              <be key="reportingFormula" refId="234" clsId="ReportingFormula">
                                <b key="serverFormula">N</b>
                                <b key="formulaRule">N</b>
                                <s key="formula">SUM({2}:{5})</s>
                              </be>
                              <be key="dictionaryHeader" refId="235" clsId="MultiDesc">
                                <a key="desc" refId="236" ln="4" eid="SYS_STR">
                                  <s>Total</s>
                                  <s>Total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s key="cod">PH</s>
                            <s key="desc"/>
                            <i key="index">0</i>
                            <ref key="parent" refId="204"/>
                          </be>
                        </l>
                        <ref key="parent" refId="198"/>
                      </be>
                      <be refId="238" clsId="FilterNode">
                        <l key="dimensionOids" refId="239" ln="0" eid="DimensionOid"/>
                        <l key="AdHocParamDimensionOids" refId="240" ln="0" eid="DimensionOid"/>
                        <be key="data" refId="241" clsId="FilterNodeData">
                          <ref key="filterNode" refId="238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>PH</s>
                        <s key="desc"/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0" eid="DimensionOid"/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PER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s key="cod">PH</s>
                            <s key="desc"/>
                            <i key="index">0</i>
                            <ref key="parent" refId="238"/>
                          </be>
                        </l>
                        <ref key="parent" refId="198"/>
                      </be>
                      <be refId="249" clsId="FilterNode">
                        <l key="dimensionOids" refId="250" ln="1" eid="DimensionOid">
                          <cust clsId="DimensionOid">534345-45-5350424447--50-</cust>
                        </l>
                        <l key="AdHocParamDimensionOids" refId="251" ln="0" eid="DimensionOid"/>
                        <be key="data" refId="252" clsId="FilterNodeData">
                          <ref key="filterNode" refId="24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54" ln="1" eid="ScenarioModifierValue">
                            <e refId="255" id="ScenarioModifierValue">RIF3</e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l key="children" refId="256" ln="5" eid="Framework.com.tagetik.trees.INode,framework">
                          <be refId="257" clsId="FilterNode">
                            <l key="dimensionOids" refId="258" ln="1" eid="DimensionOid">
                              <cust clsId="DimensionOid">504552-45-3033---</cust>
                            </l>
                            <l key="AdHocParamDimensionOids" refId="259" ln="0" eid="DimensionOid"/>
                            <be key="data" refId="260" clsId="FilterNodeData">
                              <ref key="filterNode" refId="25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6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i key="index">0</i>
                            <ref key="parent" refId="249"/>
                          </be>
                          <be refId="262" clsId="FilterNode">
                            <l key="dimensionOids" refId="263" ln="1" eid="DimensionOid">
                              <cust clsId="DimensionOid">504552-45-3036---</cust>
                            </l>
                            <l key="AdHocParamDimensionOids" refId="264" ln="0" eid="DimensionOid"/>
                            <be key="data" refId="265" clsId="FilterNodeData">
                              <ref key="filterNode" refId="26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6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i key="index">0</i>
                            <ref key="parent" refId="249"/>
                          </be>
                          <be refId="267" clsId="FilterNode">
                            <l key="dimensionOids" refId="268" ln="1" eid="DimensionOid">
                              <cust clsId="DimensionOid">504552-45-3039---</cust>
                            </l>
                            <l key="AdHocParamDimensionOids" refId="269" ln="0" eid="DimensionOid"/>
                            <be key="data" refId="270" clsId="FilterNodeData">
                              <ref key="filterNode" refId="26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7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i key="index">0</i>
                            <ref key="parent" refId="249"/>
                          </be>
                          <be refId="272" clsId="FilterNode">
                            <l key="dimensionOids" refId="273" ln="1" eid="DimensionOid">
                              <cust clsId="DimensionOid">504552-45-3132---</cust>
                            </l>
                            <l key="AdHocParamDimensionOids" refId="274" ln="0" eid="DimensionOid"/>
                            <be key="data" refId="275" clsId="FilterNodeData">
                              <ref key="filterNode" refId="27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7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i key="index">0</i>
                            <ref key="parent" refId="249"/>
                          </be>
                          <be refId="277" clsId="FilterNode">
                            <l key="dimensionOids" refId="278" ln="0" eid="DimensionOid"/>
                            <l key="AdHocParamDimensionOids" refId="279" ln="0" eid="DimensionOid"/>
                            <be key="data" refId="280" clsId="FilterNodeData">
                              <ref key="filterNode" refId="277"/>
                              <s key="dim">PER</s>
                              <i key="segmentLevel">0</i>
                              <ref key="segment" refId="17"/>
                              <be key="reportingFormula" refId="281" clsId="ReportingFormula">
                                <b key="serverFormula">N</b>
                                <b key="formulaRule">N</b>
                                <s key="formula">SUM({8}:{11})</s>
                              </be>
                              <be key="dictionaryHeader" refId="282" clsId="MultiDesc">
                                <a key="desc" refId="283" ln="4" eid="SYS_STR">
                                  <s>Total</s>
                                  <s>Total</s>
                                  <nl/>
                                  <s>Total</s>
                                </a>
                              </be>
                              <b key="placeHolder">S</b>
                              <ref key="weight" refId="18"/>
                              <be key="textMatchingCondition" refId="28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s key="cod">PH</s>
                            <s key="desc"/>
                            <i key="index">0</i>
                            <ref key="parent" refId="249"/>
                          </be>
                        </l>
                        <ref key="parent" refId="198"/>
                      </be>
                      <be refId="285" clsId="FilterNode">
                        <l key="dimensionOids" refId="286" ln="0" eid="DimensionOid"/>
                        <l key="AdHocParamDimensionOids" refId="287" ln="0" eid="DimensionOid"/>
                        <be key="data" refId="288" clsId="FilterNodeData">
                          <ref key="filterNode" refId="285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>PH</s>
                        <s key="desc"/>
                        <i key="index">0</i>
                        <l key="children" refId="290" ln="1" eid="Framework.com.tagetik.trees.INode,framework">
                          <be refId="291" clsId="FilterNode">
                            <l key="dimensionOids" refId="292" ln="0" eid="DimensionOid"/>
                            <l key="AdHocParamDimensionOids" refId="293" ln="0" eid="DimensionOid"/>
                            <be key="data" refId="294" clsId="FilterNodeData">
                              <ref key="filterNode" refId="291"/>
                              <s key="dim">PER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29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</cust>
                            <s key="cod">PH</s>
                            <s key="desc"/>
                            <i key="index">0</i>
                            <ref key="parent" refId="285"/>
                          </be>
                        </l>
                        <ref key="parent" refId="198"/>
                      </be>
                      <be refId="296" clsId="FilterNode">
                        <l key="dimensionOids" refId="297" ln="0" eid="DimensionOid"/>
                        <l key="AdHocParamDimensionOids" refId="298" ln="0" eid="DimensionOid"/>
                        <be key="data" refId="299" clsId="FilterNodeData">
                          <ref key="filterNode" refId="296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>PH</s>
                        <s key="desc"/>
                        <i key="index">0</i>
                        <l key="children" refId="301" ln="5" eid="Framework.com.tagetik.trees.INode,framework">
                          <be refId="302" clsId="FilterNode">
                            <l key="dimensionOids" refId="303" ln="0" eid="DimensionOid"/>
                            <l key="AdHocParamDimensionOids" refId="304" ln="0" eid="DimensionOid"/>
                            <be key="data" refId="305" clsId="FilterNodeData">
                              <ref key="filterNode" refId="302"/>
                              <s key="dim">PER</s>
                              <i key="segmentLevel">0</i>
                              <ref key="segment" refId="17"/>
                              <be key="reportingFormula" refId="306" clsId="ReportingFormula">
                                <b key="serverFormula">N</b>
                                <b key="formulaRule">N</b>
                                <s key="formula">{2}-{8}</s>
                              </be>
                              <be key="dictionaryHeader" refId="307" clsId="MultiDesc">
                                <a key="desc" refId="308" ln="4" eid="SYS_STR">
                                  <s>Mar</s>
                                  <s>Mar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</cust>
                            <s key="cod">PH</s>
                            <s key="desc"/>
                            <i key="index">0</i>
                            <ref key="parent" refId="296"/>
                          </be>
                          <be refId="310" clsId="FilterNode">
                            <l key="dimensionOids" refId="311" ln="0" eid="DimensionOid"/>
                            <l key="AdHocParamDimensionOids" refId="312" ln="0" eid="DimensionOid"/>
                            <be key="data" refId="313" clsId="FilterNodeData">
                              <ref key="filterNode" refId="310"/>
                              <s key="dim">PER</s>
                              <i key="segmentLevel">0</i>
                              <ref key="segment" refId="17"/>
                              <be key="reportingFormula" refId="314" clsId="ReportingFormula">
                                <b key="serverFormula">N</b>
                                <b key="formulaRule">N</b>
                                <s key="formula">{3}-{9}</s>
                              </be>
                              <be key="dictionaryHeader" refId="315" clsId="MultiDesc">
                                <a key="desc" refId="316" ln="4" eid="SYS_STR">
                                  <s>June</s>
                                  <s>June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23</cust>
                            <s key="cod">PH</s>
                            <s key="desc"/>
                            <i key="index">0</i>
                            <ref key="parent" refId="296"/>
                          </be>
                          <be refId="318" clsId="FilterNode">
                            <l key="dimensionOids" refId="319" ln="0" eid="DimensionOid"/>
                            <l key="AdHocParamDimensionOids" refId="320" ln="0" eid="DimensionOid"/>
                            <be key="data" refId="321" clsId="FilterNodeData">
                              <ref key="filterNode" refId="318"/>
                              <s key="dim">PER</s>
                              <i key="segmentLevel">0</i>
                              <ref key="segment" refId="17"/>
                              <be key="reportingFormula" refId="322" clsId="ReportingFormula">
                                <b key="serverFormula">N</b>
                                <b key="formulaRule">N</b>
                                <s key="formula">{4}-{10}</s>
                              </be>
                              <be key="dictionaryHeader" refId="323" clsId="MultiDesc">
                                <a key="desc" refId="324" ln="4" eid="SYS_STR">
                                  <s>Sept</s>
                                  <s>Sept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2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>PH</s>
                            <s key="desc"/>
                            <i key="index">0</i>
                            <ref key="parent" refId="296"/>
                          </be>
                          <be refId="326" clsId="FilterNode">
                            <l key="dimensionOids" refId="327" ln="0" eid="DimensionOid"/>
                            <l key="AdHocParamDimensionOids" refId="328" ln="0" eid="DimensionOid"/>
                            <be key="data" refId="329" clsId="FilterNodeData">
                              <ref key="filterNode" refId="326"/>
                              <s key="dim">PER</s>
                              <i key="segmentLevel">0</i>
                              <ref key="segment" refId="17"/>
                              <be key="reportingFormula" refId="330" clsId="ReportingFormula">
                                <b key="serverFormula">N</b>
                                <b key="formulaRule">N</b>
                                <s key="formula">{5}-{11}</s>
                              </be>
                              <be key="dictionaryHeader" refId="331" clsId="MultiDesc">
                                <a key="desc" refId="332" ln="4" eid="SYS_STR">
                                  <s>Dec</s>
                                  <s>Dec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3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</cust>
                            <s key="cod">PH</s>
                            <s key="desc"/>
                            <i key="index">0</i>
                            <ref key="parent" refId="296"/>
                          </be>
                          <be refId="334" clsId="FilterNode">
                            <l key="dimensionOids" refId="335" ln="0" eid="DimensionOid"/>
                            <l key="AdHocParamDimensionOids" refId="336" ln="0" eid="DimensionOid"/>
                            <be key="data" refId="337" clsId="FilterNodeData">
                              <ref key="filterNode" refId="334"/>
                              <s key="dim">PER</s>
                              <i key="segmentLevel">0</i>
                              <ref key="segment" refId="17"/>
                              <be key="reportingFormula" refId="338" clsId="ReportingFormula">
                                <b key="serverFormula">N</b>
                                <b key="formulaRule">N</b>
                                <s key="formula">{15}-{14}</s>
                              </be>
                              <be key="dictionaryHeader" refId="339" clsId="MultiDesc">
                                <a key="desc" refId="340" ln="4" eid="SYS_STR">
                                  <s>Total</s>
                                  <s>Total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34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</cust>
                            <s key="cod">PH</s>
                            <s key="desc"/>
                            <i key="index">0</i>
                            <ref key="parent" refId="296"/>
                          </be>
                        </l>
                        <ref key="parent" refId="198"/>
                      </be>
                    </l>
                  </be>
                  <be key="matrixFilters" refId="342" clsId="FilterNode">
                    <l key="dimensionOids" refId="343" ln="0" eid="DimensionOid"/>
                    <l key="AdHocParamDimensionOids" refId="344" ln="0" eid="DimensionOid"/>
                    <be key="data" refId="345" clsId="FilterNodeData">
                      <ref key="filterNode" refId="342"/>
                      <i key="segmentLevel">0</i>
                      <ref key="segment" refId="17"/>
                      <b key="placeHolder">N</b>
                      <ref key="weight" refId="18"/>
                      <be key="textMatchingCondition" refId="3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Matrix</s>
                    <i key="index">0</i>
                    <l key="children" refId="347" ln="1" eid="Framework.com.tagetik.trees.INode,framework">
                      <be refId="348" clsId="FilterNode">
                        <l key="dimensionOids" refId="349" ln="1" eid="DimensionOid">
                          <cust clsId="DimensionOid">4C554E504552-45-4C554E5F33---</cust>
                        </l>
                        <l key="AdHocParamDimensionOids" refId="350" ln="0" eid="DimensionOid"/>
                        <be key="data" refId="351" clsId="FilterNodeData">
                          <ref key="filterNode" refId="348"/>
                          <s key="dim">LUNPER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353" ln="1" eid="Framework.com.tagetik.trees.INode,framework">
                          <be refId="354" clsId="FilterNode">
                            <l key="dimensionOids" refId="355" ln="1" eid="DimensionOid">
                              <cust clsId="DimensionOid">544950-45-5449505F4F---</cust>
                            </l>
                            <l key="AdHocParamDimensionOids" refId="356" ln="0" eid="DimensionOid"/>
                            <be key="data" refId="357" clsId="FilterNodeData">
                              <ref key="filterNode" refId="354"/>
                              <s key="dim">TIP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5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l key="children" refId="359" ln="1" eid="Framework.com.tagetik.trees.INode,framework">
                              <be refId="360" clsId="FilterNode">
                                <l key="dimensionOids" refId="361" ln="1" eid="DimensionOid">
                                  <cust clsId="DimensionOid">434154-45-24414D4F554E54---</cust>
                                </l>
                                <l key="AdHocParamDimensionOids" refId="362" ln="0" eid="DimensionOid"/>
                                <be key="data" refId="363" clsId="FilterNodeData">
                                  <ref key="filterNode" refId="360"/>
                                  <s key="dim">CAT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6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4</cust>
                                <i key="index">0</i>
                                <l key="children" refId="365" ln="1" eid="Framework.com.tagetik.trees.INode,framework">
                                  <be refId="366" clsId="FilterNode">
                                    <l key="dimensionOids" refId="367" ln="3" eid="DimensionOid">
                                      <cust clsId="DimensionOid">564F435F3230-4E-3030324131---</cust>
                                      <cust clsId="DimensionOid">564F435F3230-4E-3030324132---</cust>
                                      <cust clsId="DimensionOid">564F435F3230-4E-3030324133---</cust>
                                    </l>
                                    <l key="AdHocParamDimensionOids" refId="368" ln="0" eid="DimensionOid"/>
                                    <be key="data" refId="369" clsId="FilterNodeData">
                                      <ref key="filterNode" refId="366"/>
                                      <s key="dim">VOC_20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70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6</cust>
                                    <i key="index">0</i>
                                    <ref key="parent" refId="360"/>
                                  </be>
                                </l>
                                <ref key="parent" refId="354"/>
                              </be>
                            </l>
                            <ref key="parent" refId="348"/>
                          </be>
                        </l>
                        <ref key="parent" refId="342"/>
                      </be>
                    </l>
                  </be>
                  <be key="rowHeaders" refId="371" clsId="ReportingHeaders">
                    <m key="headers" refId="372" keid="SYS_PR_I" veid="System.Collections.IList">
                      <key>
                        <i>-2</i>
                      </key>
                      <val>
                        <l refId="373" ln="1">
                          <s>$Cust_Dim3(HIERARCHY("06")).desc</s>
                        </l>
                      </val>
                      <key>
                        <i>-1</i>
                      </key>
                      <val>
                        <l refId="374" ln="1">
                          <s>$Cust_Dim1(HIERARCHY("01")).desc</s>
                        </l>
                      </val>
                    </m>
                    <m key="headersDims" refId="375" keid="SYS_PR_I" veid="SYS_STR">
                      <key>
                        <i>-2</i>
                      </key>
                      <val>
                        <s>DEST3_06</s>
                      </val>
                      <key>
                        <i>-1</i>
                      </key>
                      <val>
                        <s>DEST1_01</s>
                      </val>
                    </m>
                  </be>
                  <be key="columnHeaders" refId="376" clsId="ReportingHeaders">
                    <m key="headers" refId="377" keid="SYS_PR_I" veid="System.Collections.IList">
                      <key>
                        <i>-2</i>
                      </key>
                      <val>
                        <l refId="378" ln="1">
                          <s>$Scenario.desc</s>
                        </l>
                      </val>
                      <key>
                        <i>-1</i>
                      </key>
                      <val>
                        <l refId="379" ln="1">
                          <s>$Period.desc</s>
                        </l>
                      </val>
                    </m>
                    <m key="headersDims" refId="380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PER</s>
                      </val>
                    </m>
                  </be>
                  <e key="styleType" refId="381" id="MatrixStyleType">0</e>
                  <b key="subtotalOnTop">N</b>
                  <b key="leavesFirst">N</b>
                  <b key="groupSubtotal">N</b>
                  <b key="replaceWithPlaceholder">N</b>
                  <b key="onlyFirstHeader">S</b>
                  <b key="allowRangeBreak">N</b>
                  <b key="showZeros">N</b>
                  <i key="maxRows">0</i>
                  <e key="rowsExpansionMode" refId="382" id="RowColExpansionMode">1</e>
                  <i key="maxCols">0</i>
                  <ref key="colsExpansionMode" refId="382"/>
                  <e key="columnsAutofitMode" refId="383" id="ColumnsAutofitMode">0</e>
                  <b key="useForcedBoundDims">N</b>
                  <e key="disableHints" refId="384" id="MatrixHintsPolicy">N</e>
                  <e key="tipoAllineamentoLordiIC" refId="385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38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87" ln="0" eid="Reporting.com.tagetik.tables.IMatixCellLeafPositions,Reporting"/>
                  <m key="forcedEditModes" refId="388" keid="Reporting.com.tagetik.tables.IMatixCellLeafPositions,Reporting" veid="SYS_STR"/>
                  <b key="UseTxlDeFormEditor">N</b>
                  <be key="TxDeFormsEditorDescriptor" refId="389" clsId="TxDeFormsEditorDescriptor">
                    <l key="Tabs" refId="39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391" keid="SYS_STR" veid="CodeCellField">
              <key>
                <s>CellField00</s>
              </key>
              <val>
                <be refId="392" clsId="CodeCellField">
                  <s key="code">CellField00</s>
                  <s key="cellField">CONCATENATE("Run by ",user.desc," on ",report.runDate)</s>
                </be>
              </val>
            </m>
            <m key="dictionary" refId="393" keid="SYS_STR" veid="CodeMultiDescVO"/>
            <m key="controlExpressions" refId="394" keid="SYS_STR" veid="CodedExpControlloProspetto"/>
            <m key="inlineParameters" refId="395" keid="SYS_STR" veid="CodedInlineParameter"/>
            <m key="queries" refId="396" keid="SYS_STR" veid="Reporting.com.tagetik.query.IUserDefinedQueryVO,Reporting"/>
            <be key="sheets" refId="397" clsId="FilterNode">
              <l key="dimensionOids" refId="398" ln="0" eid="DimensionOid"/>
              <l key="AdHocParamDimensionOids" refId="399" ln="0" eid="DimensionOid"/>
              <be key="data" refId="400" clsId="FilterNodeData">
                <ref key="filterNode" refId="397"/>
                <i key="segmentLevel">0</i>
                <ref key="segment" refId="17"/>
                <b key="placeHolder">N</b>
                <ref key="weight" refId="18"/>
                <be key="textMatchingCondition" refId="40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402" keid="SYS_STR" veid="ElaborationsLauncher"/>
            <m key="actionLists" refId="403" keid="SYS_STR" veid="Reporting.com.tagetik.actionlist.ISnapshotActionList,Reporting"/>
            <l key="areas" refId="404" ln="1" eid="SYS_STR">
              <s>PLAN</s>
            </l>
            <l key="charts" refId="405" ln="0" eid="SYS_STR"/>
            <l key="pivots" refId="406" ln="0" eid="SYS_STR"/>
          </be>
        </val>
        <key>
          <s>Template00</s>
        </key>
        <val>
          <be refId="407" clsId="ReportTemplateVO">
            <s key="code">Template00</s>
            <s key="desc">PL</s>
            <m key="matrices" refId="408" keid="SYS_STR" veid="Reporting.com.tagetik.tables.IMatrixPositionBlockVO,Reporting">
              <key>
                <s>BDG/ACT VARIATION</s>
              </key>
              <val>
                <be refId="409" clsId="MatrixPositionBlockVO">
                  <s key="positionID">BDG/ACT VARIATION</s>
                  <be key="rows" refId="410" clsId="FilterNode">
                    <l key="dimensionOids" refId="411" ln="0" eid="DimensionOid"/>
                    <l key="AdHocParamDimensionOids" refId="412" ln="0" eid="DimensionOid"/>
                    <be key="data" refId="413" clsId="FilterNodeData">
                      <be key="filterNode" refId="414" clsId="FilterNode">
                        <l key="dimensionOids" refId="415" ln="0" eid="DimensionOid"/>
                        <l key="AdHocParamDimensionOids" refId="416" ln="0" eid="DimensionOid"/>
                        <be key="data" refId="417" clsId="FilterNodeData">
                          <ref key="filterNode" refId="414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Rows</s>
                        <i key="index">0</i>
                        <l key="children" refId="419" ln="28" eid="Framework.com.tagetik.trees.INode,framework">
                          <be refId="420" clsId="FilterNode">
                            <l key="dimensionOids" refId="421" ln="1" eid="DimensionOid">
                              <cust clsId="DimensionOid">564F43-4E-3031307C3530303130----53-45</cust>
                            </l>
                            <l key="AdHocParamDimensionOids" refId="422" ln="0" eid="DimensionOid"/>
                            <be key="data" refId="423" clsId="FilterNodeData">
                              <ref key="filterNode" refId="420"/>
                              <s key="dim">VOC</s>
                              <i key="segmentLevel">0</i>
                              <e key="segment" refId="424" id="SegmentEnum">N</e>
                              <b key="placeHolder">N</b>
                              <ref key="weight" refId="18"/>
                              <be key="textMatchingCondition" refId="425" clsId="TextMatchingCondition">
                                <ref key="op" refId="20"/>
                                <s key="val"/>
                              </be>
                              <e key="change" refId="426" id="ChangeEnum">CHG_N</e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2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172</cust>
                            <s key="cod"/>
                            <s key="desc"/>
                            <i key="index">0</i>
                            <l key="children" refId="428" ln="0" eid="Framework.com.tagetik.trees.INode,framework"/>
                            <ref key="parent" refId="414"/>
                          </be>
                          <be refId="429" clsId="FilterNode">
                            <l key="dimensionOids" refId="430" ln="1" eid="DimensionOid">
                              <cust clsId="DimensionOid">564F43-4E-3031307C3530303230----53-45</cust>
                            </l>
                            <l key="AdHocParamDimensionOids" refId="431" ln="0" eid="DimensionOid"/>
                            <be key="data" refId="432" clsId="FilterNodeData">
                              <ref key="filterNode" refId="42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3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3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174</cust>
                            <s key="cod"/>
                            <s key="desc"/>
                            <i key="index">1</i>
                            <l key="children" refId="435" ln="0" eid="Framework.com.tagetik.trees.INode,framework"/>
                            <ref key="parent" refId="414"/>
                          </be>
                          <be refId="436" clsId="FilterNode">
                            <l key="dimensionOids" refId="437" ln="1" eid="DimensionOid">
                              <cust clsId="DimensionOid">564F43-4E-3031307C3530303330----53-45</cust>
                            </l>
                            <l key="AdHocParamDimensionOids" refId="438" ln="0" eid="DimensionOid"/>
                            <be key="data" refId="439" clsId="FilterNodeData">
                              <ref key="filterNode" refId="436"/>
                              <s key="dim">VOC</s>
                              <i key="segmentLevel">0</i>
                              <ref key="segment" refId="424"/>
                              <be key="reportingFormula" refId="440" clsId="ReportingFormula">
                                <b key="serverFormula">N</b>
                                <b key="formulaRule">N</b>
                                <s key="formula">(-{172})-{174}</s>
                              </be>
                              <b key="placeHolder">N</b>
                              <ref key="weight" refId="18"/>
                              <be key="textMatchingCondition" refId="44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4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176</cust>
                            <s key="cod"/>
                            <s key="desc"/>
                            <i key="index">2</i>
                            <l key="children" refId="443" ln="0" eid="Framework.com.tagetik.trees.INode,framework"/>
                            <ref key="parent" refId="414"/>
                          </be>
                          <be refId="444" clsId="FilterNode">
                            <l key="dimensionOids" refId="445" ln="1" eid="DimensionOid">
                              <cust clsId="DimensionOid">564F43-4E-3031307C3530313130----53-45</cust>
                            </l>
                            <l key="AdHocParamDimensionOids" refId="446" ln="0" eid="DimensionOid"/>
                            <be key="data" refId="447" clsId="FilterNodeData">
                              <ref key="filterNode" refId="444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4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4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178</cust>
                            <s key="cod"/>
                            <s key="desc"/>
                            <i key="index">3</i>
                            <l key="children" refId="450" ln="0" eid="Framework.com.tagetik.trees.INode,framework"/>
                            <ref key="parent" refId="414"/>
                          </be>
                          <be refId="451" clsId="FilterNode">
                            <l key="dimensionOids" refId="452" ln="1" eid="DimensionOid">
                              <cust clsId="DimensionOid">564F43-4E-3031307C3530313230----53-45</cust>
                            </l>
                            <l key="AdHocParamDimensionOids" refId="453" ln="0" eid="DimensionOid"/>
                            <be key="data" refId="454" clsId="FilterNodeData">
                              <ref key="filterNode" refId="451"/>
                              <s key="dim">VOC</s>
                              <i key="segmentLevel">0</i>
                              <ref key="segment" refId="424"/>
                              <be key="reportingFormula" refId="455" clsId="ReportingFormula">
                                <b key="serverFormula">N</b>
                                <b key="formulaRule">N</b>
                                <s key="formula">(-{176})+{178}</s>
                              </be>
                              <b key="placeHolder">N</b>
                              <ref key="weight" refId="18"/>
                              <be key="textMatchingCondition" refId="45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5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180</cust>
                            <s key="cod"/>
                            <s key="desc"/>
                            <i key="index">4</i>
                            <l key="children" refId="458" ln="0" eid="Framework.com.tagetik.trees.INode,framework"/>
                            <ref key="parent" refId="414"/>
                          </be>
                          <be refId="459" clsId="FilterNode">
                            <l key="dimensionOids" refId="460" ln="1" eid="DimensionOid">
                              <cust clsId="DimensionOid">564F43-4E-3031307C3530323130----53-45</cust>
                            </l>
                            <l key="AdHocParamDimensionOids" refId="461" ln="0" eid="DimensionOid"/>
                            <be key="data" refId="462" clsId="FilterNodeData">
                              <ref key="filterNode" refId="45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6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6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182</cust>
                            <s key="cod"/>
                            <s key="desc"/>
                            <i key="index">5</i>
                            <l key="children" refId="465" ln="0" eid="Framework.com.tagetik.trees.INode,framework"/>
                            <ref key="parent" refId="414"/>
                          </be>
                          <be refId="466" clsId="FilterNode">
                            <l key="dimensionOids" refId="467" ln="1" eid="DimensionOid">
                              <cust clsId="DimensionOid">564F43-4E-3031307C3530323230----53-45</cust>
                            </l>
                            <l key="AdHocParamDimensionOids" refId="468" ln="0" eid="DimensionOid"/>
                            <be key="data" refId="469" clsId="FilterNodeData">
                              <ref key="filterNode" refId="466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7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7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184</cust>
                            <s key="cod"/>
                            <s key="desc"/>
                            <i key="index">6</i>
                            <l key="children" refId="472" ln="0" eid="Framework.com.tagetik.trees.INode,framework"/>
                            <ref key="parent" refId="414"/>
                          </be>
                          <be refId="473" clsId="FilterNode">
                            <l key="dimensionOids" refId="474" ln="1" eid="DimensionOid">
                              <cust clsId="DimensionOid">564F43-4E-3031307C3530323330----53-45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VOC</s>
                              <i key="segmentLevel">0</i>
                              <ref key="segment" refId="424"/>
                              <be key="reportingFormula" refId="477" clsId="ReportingFormula">
                                <b key="serverFormula">N</b>
                                <b key="formulaRule">N</b>
                                <s key="formula">{182}+{184}</s>
                              </be>
                              <b key="placeHolder">N</b>
                              <ref key="weight" refId="18"/>
                              <be key="textMatchingCondition" refId="47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7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186</cust>
                            <s key="cod"/>
                            <s key="desc"/>
                            <i key="index">7</i>
                            <l key="children" refId="480" ln="0" eid="Framework.com.tagetik.trees.INode,framework"/>
                            <ref key="parent" refId="414"/>
                          </be>
                          <be refId="481" clsId="FilterNode">
                            <l key="dimensionOids" refId="482" ln="1" eid="DimensionOid">
                              <cust clsId="DimensionOid">564F43-4E-3031307C3530323430----53-45</cust>
                            </l>
                            <l key="AdHocParamDimensionOids" refId="483" ln="0" eid="DimensionOid"/>
                            <be key="data" refId="484" clsId="FilterNodeData">
                              <ref key="filterNode" refId="481"/>
                              <s key="dim">VOC</s>
                              <i key="segmentLevel">0</i>
                              <ref key="segment" refId="424"/>
                              <be key="reportingFormula" refId="485" clsId="ReportingFormula">
                                <b key="serverFormula">N</b>
                                <b key="formulaRule">N</b>
                                <s key="formula">(-{180})+{186}</s>
                              </be>
                              <b key="placeHolder">N</b>
                              <ref key="weight" refId="18"/>
                              <be key="textMatchingCondition" refId="48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4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188</cust>
                            <s key="cod"/>
                            <s key="desc"/>
                            <i key="index">8</i>
                            <l key="children" refId="488" ln="0" eid="Framework.com.tagetik.trees.INode,framework"/>
                            <ref key="parent" refId="414"/>
                          </be>
                          <be refId="489" clsId="FilterNode">
                            <l key="dimensionOids" refId="490" ln="1" eid="DimensionOid">
                              <cust clsId="DimensionOid">564F43-4E-3031307C3530333130----53-45</cust>
                            </l>
                            <l key="AdHocParamDimensionOids" refId="491" ln="0" eid="DimensionOid"/>
                            <be key="data" refId="492" clsId="FilterNodeData">
                              <ref key="filterNode" refId="489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49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49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190</cust>
                            <s key="cod"/>
                            <s key="desc"/>
                            <i key="index">9</i>
                            <l key="children" refId="495" ln="0" eid="Framework.com.tagetik.trees.INode,framework"/>
                            <ref key="parent" refId="414"/>
                          </be>
                          <be refId="496" clsId="FilterNode">
                            <l key="dimensionOids" refId="497" ln="1" eid="DimensionOid">
                              <cust clsId="DimensionOid">564F43-4E-3031307C3530333230----53-45</cust>
                            </l>
                            <l key="AdHocParamDimensionOids" refId="498" ln="0" eid="DimensionOid"/>
                            <be key="data" refId="499" clsId="FilterNodeData">
                              <ref key="filterNode" refId="496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0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0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192</cust>
                            <s key="cod"/>
                            <s key="desc"/>
                            <i key="index">10</i>
                            <l key="children" refId="502" ln="0" eid="Framework.com.tagetik.trees.INode,framework"/>
                            <ref key="parent" refId="414"/>
                          </be>
                          <be refId="503" clsId="FilterNode">
                            <l key="dimensionOids" refId="504" ln="1" eid="DimensionOid">
                              <cust clsId="DimensionOid">564F43-4E-3031307C3530333330----53-45</cust>
                            </l>
                            <l key="AdHocParamDimensionOids" refId="505" ln="0" eid="DimensionOid"/>
                            <be key="data" refId="506" clsId="FilterNodeData">
                              <ref key="filterNode" refId="503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07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0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194</cust>
                            <s key="cod"/>
                            <s key="desc"/>
                            <i key="index">11</i>
                            <l key="children" refId="509" ln="0" eid="Framework.com.tagetik.trees.INode,framework"/>
                            <ref key="parent" refId="414"/>
                          </be>
                          <be refId="510" clsId="FilterNode">
                            <l key="dimensionOids" refId="511" ln="1" eid="DimensionOid">
                              <cust clsId="DimensionOid">564F43-4E-3031307C3530333430----53-45</cust>
                            </l>
                            <l key="AdHocParamDimensionOids" refId="512" ln="0" eid="DimensionOid"/>
                            <be key="data" refId="513" clsId="FilterNodeData">
                              <ref key="filterNode" refId="510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1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1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196</cust>
                            <s key="cod"/>
                            <s key="desc"/>
                            <i key="index">12</i>
                            <l key="children" refId="516" ln="0" eid="Framework.com.tagetik.trees.INode,framework"/>
                            <ref key="parent" refId="414"/>
                          </be>
                          <be refId="517" clsId="FilterNode">
                            <l key="dimensionOids" refId="518" ln="1" eid="DimensionOid">
                              <cust clsId="DimensionOid">564F43-4E-3031307C3530333530----53-45</cust>
                            </l>
                            <l key="AdHocParamDimensionOids" refId="519" ln="0" eid="DimensionOid"/>
                            <be key="data" refId="520" clsId="FilterNodeData">
                              <ref key="filterNode" refId="517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2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2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198</cust>
                            <s key="cod"/>
                            <s key="desc"/>
                            <i key="index">13</i>
                            <l key="children" refId="523" ln="0" eid="Framework.com.tagetik.trees.INode,framework"/>
                            <ref key="parent" refId="414"/>
                          </be>
                          <be refId="524" clsId="FilterNode">
                            <l key="dimensionOids" refId="525" ln="1" eid="DimensionOid">
                              <cust clsId="DimensionOid">564F43-4E-3031307C3530333535----53-45</cust>
                            </l>
                            <l key="AdHocParamDimensionOids" refId="526" ln="0" eid="DimensionOid"/>
                            <be key="data" refId="527" clsId="FilterNodeData">
                              <ref key="filterNode" refId="524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2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2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200</cust>
                            <s key="cod"/>
                            <s key="desc"/>
                            <i key="index">14</i>
                            <l key="children" refId="530" ln="0" eid="Framework.com.tagetik.trees.INode,framework"/>
                            <ref key="parent" refId="414"/>
                          </be>
                          <be refId="531" clsId="FilterNode">
                            <l key="dimensionOids" refId="532" ln="1" eid="DimensionOid">
                              <cust clsId="DimensionOid">564F43-4E-3031307C3530333830----53-45</cust>
                            </l>
                            <l key="AdHocParamDimensionOids" refId="533" ln="0" eid="DimensionOid"/>
                            <be key="data" refId="534" clsId="FilterNodeData">
                              <ref key="filterNode" refId="531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3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3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202</cust>
                            <s key="cod"/>
                            <s key="desc"/>
                            <i key="index">15</i>
                            <l key="children" refId="537" ln="0" eid="Framework.com.tagetik.trees.INode,framework"/>
                            <ref key="parent" refId="414"/>
                          </be>
                          <be refId="538" clsId="FilterNode">
                            <l key="dimensionOids" refId="539" ln="1" eid="DimensionOid">
                              <cust clsId="DimensionOid">564F43-4E-3031307C3530333930----53-45</cust>
                            </l>
                            <l key="AdHocParamDimensionOids" refId="540" ln="0" eid="DimensionOid"/>
                            <be key="data" refId="541" clsId="FilterNodeData">
                              <ref key="filterNode" refId="538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4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4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204</cust>
                            <s key="cod"/>
                            <s key="desc"/>
                            <i key="index">16</i>
                            <l key="children" refId="544" ln="0" eid="Framework.com.tagetik.trees.INode,framework"/>
                            <ref key="parent" refId="414"/>
                          </be>
                          <be refId="545" clsId="FilterNode">
                            <l key="dimensionOids" refId="546" ln="1" eid="DimensionOid">
                              <cust clsId="DimensionOid">564F43-4E-3031307C3530343030----53-45</cust>
                            </l>
                            <l key="AdHocParamDimensionOids" refId="547" ln="0" eid="DimensionOid"/>
                            <be key="data" refId="548" clsId="FilterNodeData">
                              <ref key="filterNode" refId="545"/>
                              <s key="dim">VOC</s>
                              <i key="segmentLevel">0</i>
                              <ref key="segment" refId="424"/>
                              <be key="reportingFormula" refId="549" clsId="ReportingFormula">
                                <b key="serverFormula">N</b>
                                <b key="formulaRule">N</b>
                                <s key="formula">{190}+{192}+{194}+{196}+{202}+{198}+{200}+{204}</s>
                              </be>
                              <b key="placeHolder">N</b>
                              <ref key="weight" refId="18"/>
                              <be key="textMatchingCondition" refId="55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5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206</cust>
                            <s key="cod"/>
                            <s key="desc"/>
                            <i key="index">17</i>
                            <l key="children" refId="552" ln="0" eid="Framework.com.tagetik.trees.INode,framework"/>
                            <ref key="parent" refId="414"/>
                          </be>
                          <be refId="553" clsId="FilterNode">
                            <l key="dimensionOids" refId="554" ln="1" eid="DimensionOid">
                              <cust clsId="DimensionOid">564F43-4E-3031307C3530343035----53-45</cust>
                            </l>
                            <l key="AdHocParamDimensionOids" refId="555" ln="0" eid="DimensionOid"/>
                            <be key="data" refId="556" clsId="FilterNodeData">
                              <ref key="filterNode" refId="553"/>
                              <s key="dim">VOC</s>
                              <i key="segmentLevel">0</i>
                              <ref key="segment" refId="424"/>
                              <be key="reportingFormula" refId="557" clsId="ReportingFormula">
                                <b key="serverFormula">N</b>
                                <b key="formulaRule">N</b>
                                <s key="formula">(-{188})+{206}</s>
                              </be>
                              <b key="placeHolder">N</b>
                              <ref key="weight" refId="18"/>
                              <be key="textMatchingCondition" refId="55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55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208</cust>
                            <s key="cod"/>
                            <s key="desc"/>
                            <i key="index">18</i>
                            <l key="children" refId="560" ln="0" eid="Framework.com.tagetik.trees.INode,framework"/>
                            <ref key="parent" refId="414"/>
                          </be>
                          <be refId="561" clsId="FilterNode">
                            <l key="dimensionOids" refId="562" ln="1" eid="DimensionOid">
                              <cust clsId="DimensionOid">564F43-4E-3031307C3530343130----53-45</cust>
                            </l>
                            <l key="AdHocParamDimensionOids" refId="563" ln="0" eid="DimensionOid"/>
                            <be key="data" refId="564" clsId="FilterNodeData">
                              <ref key="filterNode" refId="561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6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6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210</cust>
                            <s key="cod"/>
                            <s key="desc"/>
                            <i key="index">19</i>
                            <l key="children" refId="567" ln="0" eid="Framework.com.tagetik.trees.INode,framework"/>
                            <ref key="parent" refId="414"/>
                          </be>
                          <be refId="568" clsId="FilterNode">
                            <l key="dimensionOids" refId="569" ln="1" eid="DimensionOid">
                              <cust clsId="DimensionOid">564F43-4E-3031307C3530343230----53-45</cust>
                            </l>
                            <l key="AdHocParamDimensionOids" refId="570" ln="0" eid="DimensionOid"/>
                            <be key="data" refId="571" clsId="FilterNodeData">
                              <ref key="filterNode" refId="568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7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7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212</cust>
                            <s key="cod"/>
                            <s key="desc"/>
                            <i key="index">20</i>
                            <l key="children" refId="574" ln="0" eid="Framework.com.tagetik.trees.INode,framework"/>
                            <ref key="parent" refId="414"/>
                          </be>
                          <be refId="575" clsId="FilterNode">
                            <l key="dimensionOids" refId="576" ln="1" eid="DimensionOid">
                              <cust clsId="DimensionOid">564F43-4E-3031307C3530343330----53-45</cust>
                            </l>
                            <l key="AdHocParamDimensionOids" refId="577" ln="0" eid="DimensionOid"/>
                            <be key="data" refId="578" clsId="FilterNodeData">
                              <ref key="filterNode" refId="575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7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8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214</cust>
                            <s key="cod"/>
                            <s key="desc"/>
                            <i key="index">21</i>
                            <l key="children" refId="581" ln="0" eid="Framework.com.tagetik.trees.INode,framework"/>
                            <ref key="parent" refId="414"/>
                          </be>
                          <be refId="582" clsId="FilterNode">
                            <l key="dimensionOids" refId="583" ln="1" eid="DimensionOid">
                              <cust clsId="DimensionOid">564F43-4E-3031307C3530343830----53-45</cust>
                            </l>
                            <l key="AdHocParamDimensionOids" refId="584" ln="0" eid="DimensionOid"/>
                            <be key="data" refId="585" clsId="FilterNodeData">
                              <ref key="filterNode" refId="582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58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58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216</cust>
                            <s key="cod"/>
                            <s key="desc"/>
                            <i key="index">22</i>
                            <l key="children" refId="588" ln="0" eid="Framework.com.tagetik.trees.INode,framework"/>
                            <ref key="parent" refId="414"/>
                          </be>
                          <be refId="589" clsId="FilterNode">
                            <l key="dimensionOids" refId="590" ln="1" eid="DimensionOid">
                              <cust clsId="DimensionOid">564F43-4E-3031307C3530343930----53-45</cust>
                            </l>
                            <l key="AdHocParamDimensionOids" refId="591" ln="0" eid="DimensionOid"/>
                            <be key="data" refId="592" clsId="FilterNodeData">
                              <ref key="filterNode" refId="589"/>
                              <s key="dim">VOC</s>
                              <i key="segmentLevel">0</i>
                              <ref key="segment" refId="424"/>
                              <be key="reportingFormula" refId="593" clsId="ReportingFormula">
                                <b key="serverFormula">N</b>
                                <b key="formulaRule">N</b>
                                <s key="formula">(-{208})+{210}+{212}+{214}+{216}</s>
                              </be>
                              <b key="placeHolder">N</b>
                              <ref key="weight" refId="18"/>
                              <be key="textMatchingCondition" refId="59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59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218</cust>
                            <s key="cod"/>
                            <s key="desc"/>
                            <i key="index">23</i>
                            <l key="children" refId="596" ln="0" eid="Framework.com.tagetik.trees.INode,framework"/>
                            <ref key="parent" refId="414"/>
                          </be>
                          <be refId="597" clsId="FilterNode">
                            <l key="dimensionOids" refId="598" ln="1" eid="DimensionOid">
                              <cust clsId="DimensionOid">564F43-4E-3031307C3530353130----53-45</cust>
                            </l>
                            <l key="AdHocParamDimensionOids" refId="599" ln="0" eid="DimensionOid"/>
                            <be key="data" refId="600" clsId="FilterNodeData">
                              <ref key="filterNode" refId="597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60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60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220</cust>
                            <s key="cod"/>
                            <s key="desc"/>
                            <i key="index">24</i>
                            <l key="children" refId="603" ln="0" eid="Framework.com.tagetik.trees.INode,framework"/>
                            <ref key="parent" refId="414"/>
                          </be>
                          <be refId="604" clsId="FilterNode">
                            <l key="dimensionOids" refId="605" ln="1" eid="DimensionOid">
                              <cust clsId="DimensionOid">564F43-4E-3031307C3530353230----53-45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VOC</s>
                              <i key="segmentLevel">0</i>
                              <ref key="segment" refId="424"/>
                              <be key="reportingFormula" refId="608" clsId="ReportingFormula">
                                <b key="serverFormula">N</b>
                                <b key="formulaRule">N</b>
                                <s key="formula">(-{218})+{220}</s>
                              </be>
                              <b key="placeHolder">N</b>
                              <ref key="weight" refId="18"/>
                              <be key="textMatchingCondition" refId="60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61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222</cust>
                            <s key="cod"/>
                            <s key="desc"/>
                            <i key="index">25</i>
                            <l key="children" refId="611" ln="0" eid="Framework.com.tagetik.trees.INode,framework"/>
                            <ref key="parent" refId="414"/>
                          </be>
                          <be refId="612" clsId="FilterNode">
                            <l key="dimensionOids" refId="613" ln="1" eid="DimensionOid">
                              <cust clsId="DimensionOid">564F43-4E-3031307C3530363130----53-45</cust>
                            </l>
                            <l key="AdHocParamDimensionOids" refId="614" ln="0" eid="DimensionOid"/>
                            <be key="data" refId="615" clsId="FilterNodeData">
                              <ref key="filterNode" refId="612"/>
                              <s key="dim">VOC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61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61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224</cust>
                            <s key="cod"/>
                            <s key="desc"/>
                            <i key="index">26</i>
                            <l key="children" refId="618" ln="0" eid="Framework.com.tagetik.trees.INode,framework"/>
                            <ref key="parent" refId="414"/>
                          </be>
                          <be refId="619" clsId="FilterNode">
                            <l key="dimensionOids" refId="620" ln="1" eid="DimensionOid">
                              <cust clsId="DimensionOid">564F43-4E-3031307C3530373130----53-45</cust>
                            </l>
                            <l key="AdHocParamDimensionOids" refId="621" ln="0" eid="DimensionOid"/>
                            <be key="data" refId="622" clsId="FilterNodeData">
                              <ref key="filterNode" refId="619"/>
                              <s key="dim">VOC</s>
                              <i key="segmentLevel">0</i>
                              <ref key="segment" refId="424"/>
                              <be key="reportingFormula" refId="623" clsId="ReportingFormula">
                                <b key="serverFormula">N</b>
                                <b key="formulaRule">N</b>
                                <s key="formula">(-{222})+{224}</s>
                              </be>
                              <b key="placeHolder">N</b>
                              <ref key="weight" refId="18"/>
                              <be key="textMatchingCondition" refId="62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S</b>
                              <b key="nativeSignChange">N</b>
                              <l key="nav" refId="62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226</cust>
                            <s key="cod"/>
                            <s key="desc"/>
                            <i key="index">27</i>
                            <l key="children" refId="626" ln="0" eid="Framework.com.tagetik.trees.INode,framework"/>
                            <ref key="parent" refId="414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62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628" ln="28" eid="Framework.com.tagetik.trees.INode,framework">
                      <be refId="629" clsId="FilterNode">
                        <l key="dimensionOids" refId="630" ln="1" eid="DimensionOid">
                          <cust clsId="DimensionOid">564F43-4E-3031307C3530303130----53-45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3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172</cust>
                        <s key="cod"/>
                        <s key="desc"/>
                        <i key="index">0</i>
                        <l key="children" refId="635" ln="0" eid="Framework.com.tagetik.trees.INode,framework"/>
                        <ref key="parent" refId="410"/>
                      </be>
                      <be refId="636" clsId="FilterNode">
                        <l key="dimensionOids" refId="637" ln="1" eid="DimensionOid">
                          <cust clsId="DimensionOid">564F43-4E-3031307C3530303230----53-45</cust>
                        </l>
                        <l key="AdHocParamDimensionOids" refId="638" ln="0" eid="DimensionOid"/>
                        <be key="data" refId="639" clsId="FilterNodeData">
                          <ref key="filterNode" refId="63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4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4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174</cust>
                        <s key="cod"/>
                        <s key="desc"/>
                        <i key="index">1</i>
                        <l key="children" refId="642" ln="0" eid="Framework.com.tagetik.trees.INode,framework"/>
                        <ref key="parent" refId="410"/>
                      </be>
                      <be refId="643" clsId="FilterNode">
                        <l key="dimensionOids" refId="644" ln="1" eid="DimensionOid">
                          <cust clsId="DimensionOid">564F43-4E-3031307C3530303330----53-45</cust>
                        </l>
                        <l key="AdHocParamDimensionOids" refId="645" ln="0" eid="DimensionOid"/>
                        <be key="data" refId="646" clsId="FilterNodeData">
                          <ref key="filterNode" refId="643"/>
                          <s key="dim">VOC</s>
                          <i key="segmentLevel">0</i>
                          <ref key="segment" refId="424"/>
                          <be key="reportingFormula" refId="647" clsId="ReportingFormula">
                            <b key="serverFormula">N</b>
                            <b key="formulaRule">N</b>
                            <s key="formula">-({172}+{174})</s>
                          </be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176</cust>
                        <s key="cod"/>
                        <s key="desc"/>
                        <i key="index">2</i>
                        <l key="children" refId="650" ln="0" eid="Framework.com.tagetik.trees.INode,framework"/>
                        <ref key="parent" refId="410"/>
                      </be>
                      <be refId="651" clsId="FilterNode">
                        <l key="dimensionOids" refId="652" ln="1" eid="DimensionOid">
                          <cust clsId="DimensionOid">564F43-4E-3031307C3530313130----53-45</cust>
                        </l>
                        <l key="AdHocParamDimensionOids" refId="653" ln="0" eid="DimensionOid"/>
                        <be key="data" refId="654" clsId="FilterNodeData">
                          <ref key="filterNode" refId="65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5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5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178</cust>
                        <s key="cod"/>
                        <s key="desc"/>
                        <i key="index">3</i>
                        <l key="children" refId="657" ln="0" eid="Framework.com.tagetik.trees.INode,framework"/>
                        <ref key="parent" refId="410"/>
                      </be>
                      <be refId="658" clsId="FilterNode">
                        <l key="dimensionOids" refId="659" ln="1" eid="DimensionOid">
                          <cust clsId="DimensionOid">564F43-4E-3031307C3530313230----53-45</cust>
                        </l>
                        <l key="AdHocParamDimensionOids" refId="660" ln="0" eid="DimensionOid"/>
                        <be key="data" refId="661" clsId="FilterNodeData">
                          <ref key="filterNode" refId="658"/>
                          <s key="dim">VOC</s>
                          <i key="segmentLevel">0</i>
                          <ref key="segment" refId="424"/>
                          <be key="reportingFormula" refId="662" clsId="ReportingFormula">
                            <b key="serverFormula">N</b>
                            <b key="formulaRule">N</b>
                            <s key="formula">{178}-{176}</s>
                          </be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6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180</cust>
                        <s key="cod"/>
                        <s key="desc"/>
                        <i key="index">4</i>
                        <l key="children" refId="665" ln="0" eid="Framework.com.tagetik.trees.INode,framework"/>
                        <ref key="parent" refId="410"/>
                      </be>
                      <be refId="666" clsId="FilterNode">
                        <l key="dimensionOids" refId="667" ln="1" eid="DimensionOid">
                          <cust clsId="DimensionOid">564F43-4E-3031307C3530323130----53-45</cust>
                        </l>
                        <l key="AdHocParamDimensionOids" refId="668" ln="0" eid="DimensionOid"/>
                        <be key="data" refId="669" clsId="FilterNodeData">
                          <ref key="filterNode" refId="66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7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182</cust>
                        <s key="cod"/>
                        <s key="desc"/>
                        <i key="index">5</i>
                        <l key="children" refId="672" ln="0" eid="Framework.com.tagetik.trees.INode,framework"/>
                        <ref key="parent" refId="410"/>
                      </be>
                      <be refId="673" clsId="FilterNode">
                        <l key="dimensionOids" refId="674" ln="1" eid="DimensionOid">
                          <cust clsId="DimensionOid">564F43-4E-3031307C3530323230----53-45</cust>
                        </l>
                        <l key="AdHocParamDimensionOids" refId="675" ln="0" eid="DimensionOid"/>
                        <be key="data" refId="676" clsId="FilterNodeData">
                          <ref key="filterNode" refId="67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67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184</cust>
                        <s key="cod"/>
                        <s key="desc"/>
                        <i key="index">6</i>
                        <l key="children" refId="679" ln="0" eid="Framework.com.tagetik.trees.INode,framework"/>
                        <ref key="parent" refId="410"/>
                      </be>
                      <be refId="680" clsId="FilterNode">
                        <l key="dimensionOids" refId="681" ln="1" eid="DimensionOid">
                          <cust clsId="DimensionOid">564F43-4E-3031307C3530323330----53-45</cust>
                        </l>
                        <l key="AdHocParamDimensionOids" refId="682" ln="0" eid="DimensionOid"/>
                        <be key="data" refId="683" clsId="FilterNodeData">
                          <ref key="filterNode" refId="680"/>
                          <s key="dim">VOC</s>
                          <i key="segmentLevel">0</i>
                          <ref key="segment" refId="424"/>
                          <be key="reportingFormula" refId="684" clsId="ReportingFormula">
                            <b key="serverFormula">N</b>
                            <b key="formulaRule">N</b>
                            <s key="formula">{182}+{184}</s>
                          </be>
                          <b key="placeHolder">N</b>
                          <ref key="weight" refId="18"/>
                          <be key="textMatchingCondition" refId="68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6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186</cust>
                        <s key="cod"/>
                        <s key="desc"/>
                        <i key="index">7</i>
                        <l key="children" refId="687" ln="0" eid="Framework.com.tagetik.trees.INode,framework"/>
                        <ref key="parent" refId="410"/>
                      </be>
                      <be refId="688" clsId="FilterNode">
                        <l key="dimensionOids" refId="689" ln="1" eid="DimensionOid">
                          <cust clsId="DimensionOid">564F43-4E-3031307C3530323430----53-45</cust>
                        </l>
                        <l key="AdHocParamDimensionOids" refId="690" ln="0" eid="DimensionOid"/>
                        <be key="data" refId="691" clsId="FilterNodeData">
                          <ref key="filterNode" refId="688"/>
                          <s key="dim">VOC</s>
                          <i key="segmentLevel">0</i>
                          <ref key="segment" refId="424"/>
                          <be key="reportingFormula" refId="692" clsId="ReportingFormula">
                            <b key="serverFormula">N</b>
                            <b key="formulaRule">N</b>
                            <s key="formula">{186}-{180}</s>
                          </be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6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188</cust>
                        <s key="cod"/>
                        <s key="desc"/>
                        <i key="index">8</i>
                        <l key="children" refId="695" ln="0" eid="Framework.com.tagetik.trees.INode,framework"/>
                        <ref key="parent" refId="410"/>
                      </be>
                      <be refId="696" clsId="FilterNode">
                        <l key="dimensionOids" refId="697" ln="1" eid="DimensionOid">
                          <cust clsId="DimensionOid">564F43-4E-3031307C3530333130----53-45</cust>
                        </l>
                        <l key="AdHocParamDimensionOids" refId="698" ln="0" eid="DimensionOid"/>
                        <be key="data" refId="699" clsId="FilterNodeData">
                          <ref key="filterNode" refId="6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190</cust>
                        <s key="cod"/>
                        <s key="desc"/>
                        <i key="index">9</i>
                        <l key="children" refId="702" ln="0" eid="Framework.com.tagetik.trees.INode,framework"/>
                        <ref key="parent" refId="410"/>
                      </be>
                      <be refId="703" clsId="FilterNode">
                        <l key="dimensionOids" refId="704" ln="1" eid="DimensionOid">
                          <cust clsId="DimensionOid">564F43-4E-3031307C3530333230----53-45</cust>
                        </l>
                        <l key="AdHocParamDimensionOids" refId="705" ln="0" eid="DimensionOid"/>
                        <be key="data" refId="706" clsId="FilterNodeData">
                          <ref key="filterNode" refId="70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0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0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192</cust>
                        <s key="cod"/>
                        <s key="desc"/>
                        <i key="index">10</i>
                        <l key="children" refId="709" ln="0" eid="Framework.com.tagetik.trees.INode,framework"/>
                        <ref key="parent" refId="410"/>
                      </be>
                      <be refId="710" clsId="FilterNode">
                        <l key="dimensionOids" refId="711" ln="1" eid="DimensionOid">
                          <cust clsId="DimensionOid">564F43-4E-3031307C3530333330----53-45</cust>
                        </l>
                        <l key="AdHocParamDimensionOids" refId="712" ln="0" eid="DimensionOid"/>
                        <be key="data" refId="713" clsId="FilterNodeData">
                          <ref key="filterNode" refId="71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1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1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194</cust>
                        <s key="cod"/>
                        <s key="desc"/>
                        <i key="index">11</i>
                        <l key="children" refId="716" ln="0" eid="Framework.com.tagetik.trees.INode,framework"/>
                        <ref key="parent" refId="410"/>
                      </be>
                      <be refId="717" clsId="FilterNode">
                        <l key="dimensionOids" refId="718" ln="1" eid="DimensionOid">
                          <cust clsId="DimensionOid">564F43-4E-3031307C3530333430----53-45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196</cust>
                        <s key="cod"/>
                        <s key="desc"/>
                        <i key="index">12</i>
                        <l key="children" refId="723" ln="0" eid="Framework.com.tagetik.trees.INode,framework"/>
                        <ref key="parent" refId="410"/>
                      </be>
                      <be refId="724" clsId="FilterNode">
                        <l key="dimensionOids" refId="725" ln="1" eid="DimensionOid">
                          <cust clsId="DimensionOid">564F43-4E-3031307C3530333530----53-45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198</cust>
                        <s key="cod"/>
                        <s key="desc"/>
                        <i key="index">13</i>
                        <l key="children" refId="730" ln="0" eid="Framework.com.tagetik.trees.INode,framework"/>
                        <ref key="parent" refId="410"/>
                      </be>
                      <be refId="731" clsId="FilterNode">
                        <l key="dimensionOids" refId="732" ln="1" eid="DimensionOid">
                          <cust clsId="DimensionOid">564F43-4E-3031307C3530333535----53-45</cust>
                        </l>
                        <l key="AdHocParamDimensionOids" refId="733" ln="0" eid="DimensionOid"/>
                        <be key="data" refId="734" clsId="FilterNodeData">
                          <ref key="filterNode" refId="7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200</cust>
                        <s key="cod"/>
                        <s key="desc"/>
                        <i key="index">14</i>
                        <l key="children" refId="737" ln="0" eid="Framework.com.tagetik.trees.INode,framework"/>
                        <ref key="parent" refId="410"/>
                      </be>
                      <be refId="738" clsId="FilterNode">
                        <l key="dimensionOids" refId="739" ln="1" eid="DimensionOid">
                          <cust clsId="DimensionOid">564F43-4E-3031307C3530333830----53-45</cust>
                        </l>
                        <l key="AdHocParamDimensionOids" refId="740" ln="0" eid="DimensionOid"/>
                        <be key="data" refId="741" clsId="FilterNodeData">
                          <ref key="filterNode" refId="7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202</cust>
                        <s key="cod"/>
                        <s key="desc"/>
                        <i key="index">15</i>
                        <l key="children" refId="744" ln="0" eid="Framework.com.tagetik.trees.INode,framework"/>
                        <ref key="parent" refId="410"/>
                      </be>
                      <be refId="745" clsId="FilterNode">
                        <l key="dimensionOids" refId="746" ln="1" eid="DimensionOid">
                          <cust clsId="DimensionOid">564F43-4E-3031307C3530333930----53-45</cust>
                        </l>
                        <l key="AdHocParamDimensionOids" refId="747" ln="0" eid="DimensionOid"/>
                        <be key="data" refId="748" clsId="FilterNodeData">
                          <ref key="filterNode" refId="74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4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204</cust>
                        <s key="cod"/>
                        <s key="desc"/>
                        <i key="index">16</i>
                        <l key="children" refId="751" ln="0" eid="Framework.com.tagetik.trees.INode,framework"/>
                        <ref key="parent" refId="410"/>
                      </be>
                      <be refId="752" clsId="FilterNode">
                        <l key="dimensionOids" refId="753" ln="1" eid="DimensionOid">
                          <cust clsId="DimensionOid">564F43-4E-3031307C3530343030----53-45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VOC</s>
                          <i key="segmentLevel">0</i>
                          <ref key="segment" refId="424"/>
                          <be key="reportingFormula" refId="756" clsId="ReportingFormula">
                            <b key="serverFormula">N</b>
                            <b key="formulaRule">N</b>
                            <s key="formula">{190}+{192}+{194}+{196}+{202}+{198}+{200}+{204}</s>
                          </be>
                          <b key="placeHolder">N</b>
                          <ref key="weight" refId="18"/>
                          <be key="textMatchingCondition" refId="75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75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206</cust>
                        <s key="cod"/>
                        <s key="desc"/>
                        <i key="index">17</i>
                        <l key="children" refId="759" ln="0" eid="Framework.com.tagetik.trees.INode,framework"/>
                        <ref key="parent" refId="410"/>
                      </be>
                      <be refId="760" clsId="FilterNode">
                        <l key="dimensionOids" refId="761" ln="1" eid="DimensionOid">
                          <cust clsId="DimensionOid">564F43-4E-3031307C3530343035----53-45</cust>
                        </l>
                        <l key="AdHocParamDimensionOids" refId="762" ln="0" eid="DimensionOid"/>
                        <be key="data" refId="763" clsId="FilterNodeData">
                          <ref key="filterNode" refId="760"/>
                          <s key="dim">VOC</s>
                          <i key="segmentLevel">0</i>
                          <ref key="segment" refId="424"/>
                          <be key="reportingFormula" refId="764" clsId="ReportingFormula">
                            <b key="serverFormula">N</b>
                            <b key="formulaRule">N</b>
                            <s key="formula">{206}-{188}</s>
                          </be>
                          <b key="placeHolder">N</b>
                          <ref key="weight" refId="18"/>
                          <be key="textMatchingCondition" refId="7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208</cust>
                        <s key="cod"/>
                        <s key="desc"/>
                        <i key="index">18</i>
                        <l key="children" refId="767" ln="0" eid="Framework.com.tagetik.trees.INode,framework"/>
                        <ref key="parent" refId="410"/>
                      </be>
                      <be refId="768" clsId="FilterNode">
                        <l key="dimensionOids" refId="769" ln="1" eid="DimensionOid">
                          <cust clsId="DimensionOid">564F43-4E-3031307C3530343130----53-45</cust>
                        </l>
                        <l key="AdHocParamDimensionOids" refId="770" ln="0" eid="DimensionOid"/>
                        <be key="data" refId="771" clsId="FilterNodeData">
                          <ref key="filterNode" refId="7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210</cust>
                        <s key="cod"/>
                        <s key="desc"/>
                        <i key="index">19</i>
                        <l key="children" refId="774" ln="0" eid="Framework.com.tagetik.trees.INode,framework"/>
                        <ref key="parent" refId="410"/>
                      </be>
                      <be refId="775" clsId="FilterNode">
                        <l key="dimensionOids" refId="776" ln="1" eid="DimensionOid">
                          <cust clsId="DimensionOid">564F43-4E-3031307C3530343230----53-45</cust>
                        </l>
                        <l key="AdHocParamDimensionOids" refId="777" ln="0" eid="DimensionOid"/>
                        <be key="data" refId="778" clsId="FilterNodeData">
                          <ref key="filterNode" refId="7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212</cust>
                        <s key="cod"/>
                        <s key="desc"/>
                        <i key="index">20</i>
                        <l key="children" refId="781" ln="0" eid="Framework.com.tagetik.trees.INode,framework"/>
                        <ref key="parent" refId="410"/>
                      </be>
                      <be refId="782" clsId="FilterNode">
                        <l key="dimensionOids" refId="783" ln="1" eid="DimensionOid">
                          <cust clsId="DimensionOid">564F43-4E-3031307C3530343330----53-45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214</cust>
                        <s key="cod"/>
                        <s key="desc"/>
                        <i key="index">21</i>
                        <l key="children" refId="788" ln="0" eid="Framework.com.tagetik.trees.INode,framework"/>
                        <ref key="parent" refId="410"/>
                      </be>
                      <be refId="789" clsId="FilterNode">
                        <l key="dimensionOids" refId="790" ln="1" eid="DimensionOid">
                          <cust clsId="DimensionOid">564F43-4E-3031307C3530343830----53-45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7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216</cust>
                        <s key="cod"/>
                        <s key="desc"/>
                        <i key="index">22</i>
                        <l key="children" refId="795" ln="0" eid="Framework.com.tagetik.trees.INode,framework"/>
                        <ref key="parent" refId="410"/>
                      </be>
                      <be refId="796" clsId="FilterNode">
                        <l key="dimensionOids" refId="797" ln="1" eid="DimensionOid">
                          <cust clsId="DimensionOid">564F43-4E-3031307C3530343930----53-45</cust>
                        </l>
                        <l key="AdHocParamDimensionOids" refId="798" ln="0" eid="DimensionOid"/>
                        <be key="data" refId="799" clsId="FilterNodeData">
                          <ref key="filterNode" refId="796"/>
                          <s key="dim">VOC</s>
                          <i key="segmentLevel">0</i>
                          <ref key="segment" refId="424"/>
                          <be key="reportingFormula" refId="800" clsId="ReportingFormula">
                            <b key="serverFormula">N</b>
                            <b key="formulaRule">N</b>
                            <s key="formula">-({208}+{210}+{212}+{214}+{216})</s>
                          </be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218</cust>
                        <s key="cod"/>
                        <s key="desc"/>
                        <i key="index">23</i>
                        <l key="children" refId="803" ln="0" eid="Framework.com.tagetik.trees.INode,framework"/>
                        <ref key="parent" refId="410"/>
                      </be>
                      <be refId="804" clsId="FilterNode">
                        <l key="dimensionOids" refId="805" ln="1" eid="DimensionOid">
                          <cust clsId="DimensionOid">564F43-4E-3031307C3530353130----53-45</cust>
                        </l>
                        <l key="AdHocParamDimensionOids" refId="806" ln="0" eid="DimensionOid"/>
                        <be key="data" refId="807" clsId="FilterNodeData">
                          <ref key="filterNode" refId="80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0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0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220</cust>
                        <s key="cod"/>
                        <s key="desc"/>
                        <i key="index">24</i>
                        <l key="children" refId="810" ln="0" eid="Framework.com.tagetik.trees.INode,framework"/>
                        <ref key="parent" refId="410"/>
                      </be>
                      <be refId="811" clsId="FilterNode">
                        <l key="dimensionOids" refId="812" ln="1" eid="DimensionOid">
                          <cust clsId="DimensionOid">564F43-4E-3031307C3530353230----53-45</cust>
                        </l>
                        <l key="AdHocParamDimensionOids" refId="813" ln="0" eid="DimensionOid"/>
                        <be key="data" refId="814" clsId="FilterNodeData">
                          <ref key="filterNode" refId="811"/>
                          <s key="dim">VOC</s>
                          <i key="segmentLevel">0</i>
                          <ref key="segment" refId="424"/>
                          <be key="reportingFormula" refId="815" clsId="ReportingFormula">
                            <b key="serverFormula">N</b>
                            <b key="formulaRule">N</b>
                            <s key="formula">{220}-{218}</s>
                          </be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222</cust>
                        <s key="cod"/>
                        <s key="desc"/>
                        <i key="index">25</i>
                        <l key="children" refId="818" ln="0" eid="Framework.com.tagetik.trees.INode,framework"/>
                        <ref key="parent" refId="410"/>
                      </be>
                      <be refId="819" clsId="FilterNode">
                        <l key="dimensionOids" refId="820" ln="1" eid="DimensionOid">
                          <cust clsId="DimensionOid">564F43-4E-3031307C3530363130----53-45</cust>
                        </l>
                        <l key="AdHocParamDimensionOids" refId="821" ln="0" eid="DimensionOid"/>
                        <be key="data" refId="822" clsId="FilterNodeData">
                          <ref key="filterNode" refId="8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224</cust>
                        <s key="cod"/>
                        <s key="desc"/>
                        <i key="index">26</i>
                        <l key="children" refId="825" ln="0" eid="Framework.com.tagetik.trees.INode,framework"/>
                        <ref key="parent" refId="410"/>
                      </be>
                      <be refId="826" clsId="FilterNode">
                        <l key="dimensionOids" refId="827" ln="1" eid="DimensionOid">
                          <cust clsId="DimensionOid">564F43-4E-3031307C3530373130----53-45</cust>
                        </l>
                        <l key="AdHocParamDimensionOids" refId="828" ln="0" eid="DimensionOid"/>
                        <be key="data" refId="829" clsId="FilterNodeData">
                          <ref key="filterNode" refId="826"/>
                          <s key="dim">VOC</s>
                          <i key="segmentLevel">0</i>
                          <ref key="segment" refId="424"/>
                          <be key="reportingFormula" refId="830" clsId="ReportingFormula">
                            <b key="serverFormula">N</b>
                            <b key="formulaRule">N</b>
                            <s key="formula">-({222}+{224})</s>
                          </be>
                          <b key="placeHolder">N</b>
                          <ref key="weight" refId="18"/>
                          <be key="textMatchingCondition" refId="83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S</b>
                          <l key="nav" refId="83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226</cust>
                        <s key="cod"/>
                        <s key="desc"/>
                        <i key="index">27</i>
                        <l key="children" refId="833" ln="0" eid="Framework.com.tagetik.trees.INode,framework"/>
                        <ref key="parent" refId="410"/>
                      </be>
                    </l>
                  </be>
                  <be key="columns" refId="834" clsId="FilterNode">
                    <l key="dimensionOids" refId="835" ln="0" eid="DimensionOid"/>
                    <l key="AdHocParamDimensionOids" refId="836" ln="0" eid="DimensionOid"/>
                    <be key="data" refId="837" clsId="FilterNodeData">
                      <be key="filterNode" refId="838" clsId="FilterNode">
                        <l key="dimensionOids" refId="839" ln="0" eid="DimensionOid"/>
                        <l key="AdHocParamDimensionOids" refId="840" ln="0" eid="DimensionOid"/>
                        <be key="data" refId="841" clsId="FilterNodeData">
                          <ref key="filterNode" refId="838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Columns</s>
                        <i key="index">0</i>
                        <l key="children" refId="843" ln="5" eid="Framework.com.tagetik.trees.INode,framework">
                          <be refId="844" clsId="FilterNode">
                            <l key="dimensionOids" refId="845" ln="1" eid="DimensionOid">
                              <cust clsId="DimensionOid">534345-45-5350424447--50-</cust>
                            </l>
                            <l key="AdHocParamDimensionOids" refId="846" ln="0" eid="DimensionOid"/>
                            <be key="data" refId="847" clsId="FilterNodeData">
                              <ref key="filterNode" refId="844"/>
                              <s key="dim">SCE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84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4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48</cust>
                            <s key="cod"/>
                            <s key="desc"/>
                            <i key="index">0</i>
                            <l key="children" refId="850" ln="0" eid="Framework.com.tagetik.trees.INode,framework"/>
                            <ref key="parent" refId="838"/>
                          </be>
                          <be refId="851" clsId="FilterNode">
                            <l key="dimensionOids" refId="852" ln="1" eid="DimensionOid">
                              <cust clsId="DimensionOid">534345-45-53505F534E415053484F54--50-</cust>
                            </l>
                            <l key="AdHocParamDimensionOids" refId="853" ln="0" eid="DimensionOid"/>
                            <be key="data" refId="854" clsId="FilterNodeData">
                              <ref key="filterNode" refId="851"/>
                              <s key="dim">SCE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85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5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54</cust>
                            <s key="cod"/>
                            <s key="desc"/>
                            <i key="index">1</i>
                            <l key="children" refId="857" ln="0" eid="Framework.com.tagetik.trees.INode,framework"/>
                            <ref key="parent" refId="838"/>
                          </be>
                          <be refId="858" clsId="FilterNode">
                            <l key="dimensionOids" refId="859" ln="0" eid="DimensionOid"/>
                            <l key="AdHocParamDimensionOids" refId="860" ln="0" eid="DimensionOid"/>
                            <be key="data" refId="861" clsId="FilterNodeData">
                              <ref key="filterNode" refId="858"/>
                              <s key="dim">SCE</s>
                              <i key="segmentLevel">0</i>
                              <ref key="segment" refId="17"/>
                              <b key="placeHolder">S</b>
                              <ref key="weight" refId="18"/>
                              <be key="textMatchingCondition" refId="86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6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43</cust>
                            <s key="cod"/>
                            <s key="desc"/>
                            <i key="index">2</i>
                            <l key="children" refId="864" ln="0" eid="Framework.com.tagetik.trees.INode,framework"/>
                            <ref key="parent" refId="838"/>
                          </be>
                          <be refId="865" clsId="FilterNode">
                            <l key="dimensionOids" refId="866" ln="0" eid="DimensionOid"/>
                            <l key="AdHocParamDimensionOids" refId="867" ln="0" eid="DimensionOid"/>
                            <be key="data" refId="868" clsId="FilterNodeData">
                              <ref key="filterNode" refId="865"/>
                              <s key="dim">SCE</s>
                              <i key="segmentLevel">0</i>
                              <ref key="segment" refId="17"/>
                              <be key="reportingFormula" refId="869" clsId="ReportingFormula">
                                <b key="serverFormula">N</b>
                                <b key="formulaRule">N</b>
                                <s key="formula">{48}-{54}</s>
                              </be>
                              <be key="dictionaryHeader" refId="870" clsId="MultiDesc">
                                <a key="desc" refId="871" ln="4" eid="SYS_STR">
                                  <s>Variazione</s>
                                  <s>Variation</s>
                                  <nl/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87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7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36</cust>
                            <s key="cod"/>
                            <s key="desc"/>
                            <i key="index">3</i>
                            <l key="children" refId="874" ln="0" eid="Framework.com.tagetik.trees.INode,framework"/>
                            <ref key="parent" refId="838"/>
                          </be>
                          <be refId="875" clsId="FilterNode">
                            <l key="dimensionOids" refId="876" ln="0" eid="DimensionOid"/>
                            <l key="AdHocParamDimensionOids" refId="877" ln="0" eid="DimensionOid"/>
                            <be key="data" refId="878" clsId="FilterNodeData">
                              <ref key="filterNode" refId="875"/>
                              <s key="dim">SCE</s>
                              <i key="segmentLevel">0</i>
                              <ref key="segment" refId="17"/>
                              <be key="reportingFormula" refId="879" clsId="ReportingFormula">
                                <b key="serverFormula">N</b>
                                <b key="formulaRule">S</b>
                                <s key="formula">if({54}=0,0,(({48}-{54})/abs({54})))</s>
                              </be>
                              <be key="dictionaryHeader" refId="880" clsId="MultiDesc">
                                <a key="desc" refId="881" ln="4" eid="SYS_STR">
                                  <s>%</s>
                                  <s>%</s>
                                  <s/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88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88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</s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39</cust>
                            <s key="cod"/>
                            <s key="desc"/>
                            <i key="index">4</i>
                            <l key="children" refId="884" ln="0" eid="Framework.com.tagetik.trees.INode,framework"/>
                            <ref key="parent" refId="838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8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886" ln="5" eid="Framework.com.tagetik.trees.INode,framework">
                      <be refId="887" clsId="FilterNode">
                        <l key="dimensionOids" refId="888" ln="1" eid="DimensionOid">
                          <cust clsId="DimensionOid">534345-45-5350424447--50-</cust>
                        </l>
                        <l key="AdHocParamDimensionOids" refId="889" ln="0" eid="DimensionOid"/>
                        <be key="data" refId="890" clsId="FilterNodeData">
                          <ref key="filterNode" refId="887"/>
                          <s key="dim">SCE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89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9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48</cust>
                        <s key="cod"/>
                        <s key="desc"/>
                        <i key="index">0</i>
                        <l key="children" refId="893" ln="0" eid="Framework.com.tagetik.trees.INode,framework"/>
                        <ref key="parent" refId="834"/>
                      </be>
                      <be refId="894" clsId="FilterNode">
                        <l key="dimensionOids" refId="895" ln="1" eid="DimensionOid">
                          <cust clsId="DimensionOid">534345-45-5350424447--50-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899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54</cust>
                        <s key="cod"/>
                        <s key="desc"/>
                        <i key="index">1</i>
                        <l key="children" refId="900" ln="0" eid="Framework.com.tagetik.trees.INode,framework"/>
                        <ref key="parent" refId="834"/>
                      </be>
                      <be refId="901" clsId="FilterNode">
                        <l key="dimensionOids" refId="902" ln="0" eid="DimensionOid"/>
                        <l key="AdHocParamDimensionOids" refId="903" ln="0" eid="DimensionOid"/>
                        <be key="data" refId="904" clsId="FilterNodeData">
                          <ref key="filterNode" refId="901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9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43</cust>
                        <s key="cod"/>
                        <s key="desc"/>
                        <i key="index">2</i>
                        <l key="children" refId="907" ln="0" eid="Framework.com.tagetik.trees.INode,framework"/>
                        <ref key="parent" refId="834"/>
                      </be>
                      <be refId="908" clsId="FilterNode">
                        <l key="dimensionOids" refId="909" ln="0" eid="DimensionOid"/>
                        <l key="AdHocParamDimensionOids" refId="910" ln="0" eid="DimensionOid"/>
                        <be key="data" refId="911" clsId="FilterNodeData">
                          <ref key="filterNode" refId="908"/>
                          <s key="dim">SCE</s>
                          <i key="segmentLevel">0</i>
                          <ref key="segment" refId="17"/>
                          <be key="reportingFormula" refId="912" clsId="ReportingFormula">
                            <b key="serverFormula">N</b>
                            <b key="formulaRule">N</b>
                            <s key="formula">{48}-{54}</s>
                          </be>
                          <be key="dictionaryHeader" refId="913" clsId="MultiDesc">
                            <a key="desc" refId="914" ln="4" eid="SYS_STR">
                              <s>Variazione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9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1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36</cust>
                        <s key="cod"/>
                        <s key="desc"/>
                        <i key="index">3</i>
                        <l key="children" refId="917" ln="0" eid="Framework.com.tagetik.trees.INode,framework"/>
                        <ref key="parent" refId="834"/>
                      </be>
                      <be refId="918" clsId="FilterNode">
                        <l key="dimensionOids" refId="919" ln="0" eid="DimensionOid"/>
                        <l key="AdHocParamDimensionOids" refId="920" ln="0" eid="DimensionOid"/>
                        <be key="data" refId="921" clsId="FilterNodeData">
                          <ref key="filterNode" refId="918"/>
                          <s key="dim">SCE</s>
                          <i key="segmentLevel">0</i>
                          <ref key="segment" refId="17"/>
                          <be key="reportingFormula" refId="922" clsId="ReportingFormula">
                            <b key="serverFormula">N</b>
                            <b key="formulaRule">S</b>
                            <s key="formula">if({54}=0,0,(({48}-{54})/abs({54})))</s>
                          </be>
                          <be key="dictionaryHeader" refId="923" clsId="MultiDesc">
                            <a key="desc" refId="924" ln="4" eid="SYS_STR">
                              <s>%</s>
                              <s>%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9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26" ln="0" eid="ScenarioModifierValue"/>
                          <i key="sco">0</i>
                          <b key="applyFiltersForForcedScenarioPeriodoMap">N</b>
                          <b key="lineSplit">N</b>
                          <s key="adHocStyleSheetId">1</s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39</cust>
                        <s key="cod"/>
                        <s key="desc"/>
                        <i key="index">4</i>
                        <l key="children" refId="927" ln="0" eid="Framework.com.tagetik.trees.INode,framework"/>
                        <ref key="parent" refId="834"/>
                      </be>
                    </l>
                  </be>
                  <be key="matrixFilters" refId="928" clsId="FilterNode">
                    <l key="dimensionOids" refId="929" ln="0" eid="DimensionOid"/>
                    <l key="AdHocParamDimensionOids" refId="930" ln="0" eid="DimensionOid"/>
                    <be key="data" refId="931" clsId="FilterNodeData">
                      <ref key="filterNode" refId="928"/>
                      <i key="segmentLevel">0</i>
                      <ref key="segment" refId="17"/>
                      <b key="placeHolder">N</b>
                      <ref key="weight" refId="18"/>
                      <be key="textMatchingCondition" refId="93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933" ln="1" eid="Framework.com.tagetik.trees.INode,framework">
                      <be refId="934" clsId="FilterNode">
                        <l key="dimensionOids" refId="935" ln="1" eid="DimensionOid">
                          <cust clsId="DimensionOid">434154-45-24414D4F554E54---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CAT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939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s key="cod"/>
                        <s key="desc"/>
                        <i key="index">0</i>
                        <l key="children" refId="940" ln="1" eid="Framework.com.tagetik.trees.INode,framework">
                          <be refId="941" clsId="FilterNode">
                            <l key="dimensionOids" refId="942" ln="1" eid="DimensionOid">
                              <cust clsId="DimensionOid">544950-45-5449505F4F---</cust>
                            </l>
                            <l key="AdHocParamDimensionOids" refId="943" ln="0" eid="DimensionOid"/>
                            <be key="data" refId="944" clsId="FilterNodeData">
                              <ref key="filterNode" refId="941"/>
                              <s key="dim">TIP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94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94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15</cust>
                            <s key="cod"/>
                            <s key="desc"/>
                            <i key="index">0</i>
                            <l key="children" refId="947" ln="1" eid="Framework.com.tagetik.trees.INode,framework">
                              <be refId="948" clsId="FilterNode">
                                <l key="dimensionOids" refId="949" ln="1" eid="DimensionOid">
                                  <cust clsId="DimensionOid">4445535433-4E-7C7C---</cust>
                                </l>
                                <l key="AdHocParamDimensionOids" refId="950" ln="0" eid="DimensionOid"/>
                                <be key="data" refId="951" clsId="FilterNodeData">
                                  <ref key="filterNode" refId="948"/>
                                  <s key="dim">DEST3</s>
                                  <i key="segmentLevel">0</i>
                                  <ref key="segment" refId="424"/>
                                  <b key="placeHolder">N</b>
                                  <ref key="weight" refId="18"/>
                                  <be key="textMatchingCondition" refId="952" clsId="TextMatchingCondition">
                                    <ref key="op" refId="20"/>
                                    <s key="val"/>
                                  </be>
                                  <ref key="change" refId="426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953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18</cust>
                                <s key="cod"/>
                                <s key="desc"/>
                                <i key="index">0</i>
                                <l key="children" refId="954" ln="1" eid="Framework.com.tagetik.trees.INode,framework">
                                  <be refId="955" clsId="FilterNode">
                                    <l key="dimensionOids" refId="956" ln="1" eid="DimensionOid">
                                      <cust clsId="DimensionOid">44455354315F3031-4E-583030---</cust>
                                    </l>
                                    <l key="AdHocParamDimensionOids" refId="957" ln="0" eid="DimensionOid"/>
                                    <be key="data" refId="958" clsId="FilterNodeData">
                                      <ref key="filterNode" refId="955"/>
                                      <s key="dim">DEST1_01</s>
                                      <i key="segmentLevel">0</i>
                                      <ref key="segment" refId="424"/>
                                      <b key="placeHolder">N</b>
                                      <ref key="weight" refId="18"/>
                                      <be key="textMatchingCondition" refId="959" clsId="TextMatchingCondition">
                                        <ref key="op" refId="20"/>
                                        <s key="val"/>
                                      </be>
                                      <ref key="change" refId="426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960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20</cust>
                                    <s key="cod"/>
                                    <s key="desc"/>
                                    <i key="index">0</i>
                                    <l key="children" refId="961" ln="1" eid="Framework.com.tagetik.trees.INode,framework">
                                      <be refId="962" clsId="FilterNode">
                                        <l key="dimensionOids" refId="963" ln="1" eid="DimensionOid">
                                          <cust clsId="DimensionOid">44455354325F3031-4E-583030---</cust>
                                        </l>
                                        <l key="AdHocParamDimensionOids" refId="964" ln="0" eid="DimensionOid"/>
                                        <be key="data" refId="965" clsId="FilterNodeData">
                                          <ref key="filterNode" refId="962"/>
                                          <s key="dim">DEST2_01</s>
                                          <i key="segmentLevel">0</i>
                                          <ref key="segment" refId="424"/>
                                          <b key="placeHolder">N</b>
                                          <ref key="weight" refId="18"/>
                                          <be key="textMatchingCondition" refId="966" clsId="TextMatchingCondition">
                                            <ref key="op" refId="20"/>
                                            <s key="val"/>
                                          </be>
                                          <ref key="change" refId="426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967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23</cust>
                                        <s key="cod"/>
                                        <s key="desc"/>
                                        <i key="index">0</i>
                                        <l key="children" refId="968" ln="1" eid="Framework.com.tagetik.trees.INode,framework">
                                          <be refId="969" clsId="FilterNode">
                                            <l key="dimensionOids" refId="970" ln="1" eid="DimensionOid">
                                              <cust clsId="DimensionOid">504552-45-3132---</cust>
                                            </l>
                                            <l key="AdHocParamDimensionOids" refId="971" ln="0" eid="DimensionOid"/>
                                            <be key="data" refId="972" clsId="FilterNodeData">
                                              <ref key="filterNode" refId="969"/>
                                              <s key="dim">PER</s>
                                              <i key="segmentLevel">0</i>
                                              <ref key="segment" refId="17"/>
                                              <b key="placeHolder">N</b>
                                              <ref key="weight" refId="18"/>
                                              <be key="textMatchingCondition" refId="973" clsId="TextMatchingCondition">
                                                <ref key="op" refId="20"/>
                                                <s key="val"/>
                                              </be>
                                              <ref key="change" refId="21"/>
                                              <ref key="dataType" refId="22"/>
                                              <b key="prevailingDataType">N</b>
                                              <ref key="editability" refId="23"/>
                                              <b key="signChange">N</b>
                                              <b key="nativeSignChange">N</b>
                                              <i key="sco">0</i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b key="complementary">N</b>
                                              <b key="breakLevelSubtotal">N</b>
                                              <b key="alreadyDrilled">N</b>
                                            </be>
                                            <cust key="id" clsId="FilterOid">27</cust>
                                            <i key="index">0</i>
                                            <ref key="parent" refId="962"/>
                                          </be>
                                        </l>
                                        <ref key="parent" refId="955"/>
                                      </be>
                                    </l>
                                    <ref key="parent" refId="948"/>
                                  </be>
                                </l>
                                <ref key="parent" refId="941"/>
                              </be>
                            </l>
                            <ref key="parent" refId="934"/>
                          </be>
                        </l>
                        <ref key="parent" refId="928"/>
                      </be>
                    </l>
                  </be>
                  <be key="rowHeaders" refId="974" clsId="ReportingHeaders">
                    <m key="headers" refId="975" keid="SYS_PR_I" veid="System.Collections.IList">
                      <key>
                        <i>-1</i>
                      </key>
                      <val>
                        <l refId="976" ln="1">
                          <s>$Account.desc</s>
                        </l>
                      </val>
                    </m>
                    <m key="headersDims" refId="97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978" clsId="ReportingHeaders">
                    <m key="headers" refId="979" keid="SYS_PR_I" veid="System.Collections.IList">
                      <key>
                        <i>-1</i>
                      </key>
                      <val>
                        <l refId="980" ln="1">
                          <s>$Scenario.desc</s>
                        </l>
                      </val>
                    </m>
                    <m key="headersDims" refId="981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e key="styleType" refId="982" id="MatrixStyleType">2</e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ref key="tipoAllineamentoLordiIC" refId="385"/>
                  <set key="forcedDimensions" refId="983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984" keid="SYS_STR" veid="StyleSheet">
                    <key>
                      <s>1</s>
                    </key>
                    <val>
                      <be refId="985" clsId="StyleSheet">
                        <s key="cod">TGK_01</s>
                        <e key="applyFirst" refId="986" id="MultiplePosBlockType">COLUMNS</e>
                        <m key="rules" refId="987" keid="SYS_STR" veid="System.Collections.IList">
                          <key>
                            <s>46524D4F424A-45-56414C554553----434F4C554D4E53-234E2F41-56414C554553-234E2F41</s>
                          </key>
                          <val>
                            <l refId="988" ln="1">
                              <be refId="989" clsId="StyleRule">
                                <be key="ruleCondition" refId="990" clsId="StyleRuleCondition">
                                  <b key="trailing">N</b>
                                  <b key="leading">N</b>
                                </be>
                                <s key="codStile">%0.0</s>
                              </be>
                            </l>
                          </val>
                        </m>
                        <d key="dateUpd">1354202185157</d>
                        <e key="tipoClient" refId="991" id="TipoClient">NET</e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2" ln="0" eid="Reporting.com.tagetik.tables.IMatixCellLeafPositions,Reporting"/>
                  <m key="forcedEditModes" refId="993" keid="Reporting.com.tagetik.tables.IMatixCellLeafPositions,Reporting" veid="SYS_STR"/>
                  <b key="UseTxlDeFormEditor">N</b>
                  <be key="TxDeFormsEditorDescriptor" refId="994" clsId="TxDeFormsEditorDescriptor">
                    <l key="Tabs" refId="99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  <key>
                <s>Matrix00</s>
              </key>
              <val>
                <be refId="996" clsId="MatrixPositionBlockVO">
                  <s key="positionID">Matrix00</s>
                  <be key="rows" refId="997" clsId="FilterNode">
                    <l key="dimensionOids" refId="998" ln="0" eid="DimensionOid"/>
                    <l key="AdHocParamDimensionOids" refId="999" ln="0" eid="DimensionOid"/>
                    <be key="data" refId="1000" clsId="FilterNodeData">
                      <be key="filterNode" refId="1001" clsId="FilterNode">
                        <l key="dimensionOids" refId="1002" ln="0" eid="DimensionOid"/>
                        <l key="AdHocParamDimensionOids" refId="1003" ln="0" eid="DimensionOid"/>
                        <be key="data" refId="1004" clsId="FilterNodeData">
                          <ref key="filterNode" refId="1001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cod">ROOT</s>
                        <s key="desc">Rows</s>
                        <i key="index">0</i>
                        <l key="children" refId="1006" ln="1" eid="Framework.com.tagetik.trees.INode,framework">
                          <be refId="1007" clsId="FilterNode">
                            <l key="dimensionOids" refId="1008" ln="1" eid="DimensionOid">
                              <cust clsId="DimensionOid">564F43-4E-3031307C3530303330----53-45</cust>
                            </l>
                            <l key="AdHocParamDimensionOids" refId="1009" ln="0" eid="DimensionOid"/>
                            <be key="data" refId="1010" clsId="FilterNodeData">
                              <ref key="filterNode" refId="1007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1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i key="index">0</i>
                            <ref key="parent" refId="1001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10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Rows</s>
                    <i key="index">0</i>
                    <l key="children" refId="1013" ln="3" eid="Framework.com.tagetik.trees.INode,framework">
                      <be refId="1014" clsId="FilterNode">
                        <l key="dimensionOids" refId="1015" ln="1" eid="DimensionOid">
                          <cust clsId="DimensionOid">534345-45-5350424447--50-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0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0</i>
                        <l key="children" refId="1020" ln="3" eid="Framework.com.tagetik.trees.INode,framework">
                          <be refId="1021" clsId="FilterNode">
                            <l key="dimensionOids" refId="1022" ln="1" eid="DimensionOid">
                              <cust clsId="DimensionOid">564F43-4E-3031307C3530303330----53-45</cust>
                            </l>
                            <l key="AdHocParamDimensionOids" refId="1023" ln="0" eid="DimensionOid"/>
                            <be key="data" refId="1024" clsId="FilterNodeData">
                              <ref key="filterNode" refId="1021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ref key="textMatchingCondition" refId="1011"/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2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s key="cod"/>
                            <s key="desc"/>
                            <i key="index">0</i>
                            <l key="children" refId="1026" ln="0" eid="Framework.com.tagetik.trees.INode,framework"/>
                            <ref key="parent" refId="1014"/>
                          </be>
                          <be refId="1027" clsId="FilterNode">
                            <l key="dimensionOids" refId="1028" ln="1" eid="DimensionOid">
                              <cust clsId="DimensionOid">564F43-4E-3031307C3530343035----53-45</cust>
                            </l>
                            <l key="AdHocParamDimensionOids" refId="1029" ln="0" eid="DimensionOid"/>
                            <be key="data" refId="1030" clsId="FilterNodeData">
                              <ref key="filterNode" refId="1027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3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3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s key="cod"/>
                            <s key="desc"/>
                            <i key="index">1</i>
                            <l key="children" refId="1033" ln="0" eid="Framework.com.tagetik.trees.INode,framework"/>
                            <ref key="parent" refId="1014"/>
                          </be>
                          <be refId="1034" clsId="FilterNode">
                            <l key="dimensionOids" refId="1035" ln="1" eid="DimensionOid">
                              <cust clsId="DimensionOid">564F43-4E-3031307C3530353230----53-45</cust>
                            </l>
                            <l key="AdHocParamDimensionOids" refId="1036" ln="0" eid="DimensionOid"/>
                            <be key="data" refId="1037" clsId="FilterNodeData">
                              <ref key="filterNode" refId="1034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3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s key="cod"/>
                            <s key="desc"/>
                            <i key="index">2</i>
                            <l key="children" refId="1040" ln="0" eid="Framework.com.tagetik.trees.INode,framework"/>
                            <ref key="parent" refId="1014"/>
                          </be>
                        </l>
                        <ref key="parent" refId="997"/>
                      </be>
                      <be refId="1041" clsId="FilterNode">
                        <l key="dimensionOids" refId="1042" ln="1" eid="DimensionOid">
                          <cust clsId="DimensionOid">534345-45-5350424447--50-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046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1</i>
                        <l key="children" refId="1047" ln="3" eid="Framework.com.tagetik.trees.INode,framework">
                          <be refId="1048" clsId="FilterNode">
                            <l key="dimensionOids" refId="1049" ln="1" eid="DimensionOid">
                              <cust clsId="DimensionOid">564F43-4E-3031307C3530303330----53-45</cust>
                            </l>
                            <l key="AdHocParamDimensionOids" refId="1050" ln="0" eid="DimensionOid"/>
                            <be key="data" refId="1051" clsId="FilterNodeData">
                              <ref key="filterNode" refId="1048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5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7</cust>
                            <s key="cod"/>
                            <s key="desc"/>
                            <i key="index">0</i>
                            <l key="children" refId="1054" ln="0" eid="Framework.com.tagetik.trees.INode,framework"/>
                            <ref key="parent" refId="1041"/>
                          </be>
                          <be refId="1055" clsId="FilterNode">
                            <l key="dimensionOids" refId="1056" ln="1" eid="DimensionOid">
                              <cust clsId="DimensionOid">564F43-4E-3031307C3530343035----53-45</cust>
                            </l>
                            <l key="AdHocParamDimensionOids" refId="1057" ln="0" eid="DimensionOid"/>
                            <be key="data" refId="1058" clsId="FilterNodeData">
                              <ref key="filterNode" refId="1055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s key="cod"/>
                            <s key="desc"/>
                            <i key="index">1</i>
                            <l key="children" refId="1061" ln="0" eid="Framework.com.tagetik.trees.INode,framework"/>
                            <ref key="parent" refId="1041"/>
                          </be>
                          <be refId="1062" clsId="FilterNode">
                            <l key="dimensionOids" refId="1063" ln="1" eid="DimensionOid">
                              <cust clsId="DimensionOid">564F43-4E-3031307C3530353230----53-45</cust>
                            </l>
                            <l key="AdHocParamDimensionOids" refId="1064" ln="0" eid="DimensionOid"/>
                            <be key="data" refId="1065" clsId="FilterNodeData">
                              <ref key="filterNode" refId="1062"/>
                              <s key="dim">VOC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6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S</b>
                              <l key="nav" refId="106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9</cust>
                            <s key="cod"/>
                            <s key="desc"/>
                            <i key="index">2</i>
                            <l key="children" refId="1068" ln="0" eid="Framework.com.tagetik.trees.INode,framework"/>
                            <ref key="parent" refId="1041"/>
                          </be>
                        </l>
                        <ref key="parent" refId="997"/>
                      </be>
                      <be refId="1069" clsId="FilterNode">
                        <l key="dimensionOids" refId="1070" ln="0" eid="DimensionOid"/>
                        <l key="AdHocParamDimensionOids" refId="1071" ln="0" eid="DimensionOid"/>
                        <be key="data" refId="1072" clsId="FilterNodeData">
                          <ref key="filterNode" refId="1069"/>
                          <s key="dim">SCE</s>
                          <i key="segmentLevel">0</i>
                          <ref key="segment" refId="17"/>
                          <be key="dictionaryHeader" refId="1073" clsId="MultiDesc">
                            <a key="desc" refId="1074" ln="4" eid="SYS_STR">
                              <s> </s>
                              <s> </s>
                              <s> </s>
                              <nl/>
                            </a>
                          </be>
                          <b key="placeHolder">S</b>
                          <ref key="weight" refId="18"/>
                          <be key="textMatchingCondition" refId="10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>PH</s>
                        <s key="desc"/>
                        <i key="index">0</i>
                        <l key="children" refId="1076" ln="3" eid="Framework.com.tagetik.trees.INode,framework">
                          <be refId="1077" clsId="FilterNode">
                            <l key="dimensionOids" refId="1078" ln="0" eid="DimensionOid"/>
                            <l key="AdHocParamDimensionOids" refId="1079" ln="0" eid="DimensionOid"/>
                            <be key="data" refId="1080" clsId="FilterNodeData">
                              <ref key="filterNode" refId="1077"/>
                              <s key="dim">VOC</s>
                              <i key="segmentLevel">0</i>
                              <ref key="segment" refId="17"/>
                              <be key="reportingFormula" refId="1081" clsId="ReportingFormula">
                                <b key="serverFormula">N</b>
                                <b key="formulaRule">N</b>
                                <s key="formula">{2}-{7}</s>
                              </be>
                              <be key="dictionaryHeader" refId="1082" clsId="MultiDesc">
                                <a key="desc" refId="1083" ln="4" eid="SYS_STR">
                                  <s>Total Gross Sales</s>
                                  <s>Total Gross Sales</s>
                                  <s>Total Gross Sales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08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11</cust>
                            <s key="cod">PH</s>
                            <s key="desc"/>
                            <i key="index">0</i>
                            <ref key="parent" refId="1069"/>
                          </be>
                          <be refId="1085" clsId="FilterNode">
                            <l key="dimensionOids" refId="1086" ln="0" eid="DimensionOid"/>
                            <l key="AdHocParamDimensionOids" refId="1087" ln="0" eid="DimensionOid"/>
                            <be key="data" refId="1088" clsId="FilterNodeData">
                              <ref key="filterNode" refId="1085"/>
                              <s key="dim">VOC</s>
                              <i key="segmentLevel">0</i>
                              <ref key="segment" refId="17"/>
                              <be key="reportingFormula" refId="1089" clsId="ReportingFormula">
                                <b key="serverFormula">N</b>
                                <b key="formulaRule">N</b>
                                <s key="formula">{3}-{8}</s>
                              </be>
                              <be key="dictionaryHeader" refId="1090" clsId="MultiDesc">
                                <a key="desc" refId="1091" ln="4" eid="SYS_STR">
                                  <s>Net Margin</s>
                                  <s>Net Margin</s>
                                  <s>Net Margin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092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13</cust>
                            <s key="cod">PH</s>
                            <s key="desc"/>
                            <i key="index">0</i>
                            <ref key="parent" refId="1069"/>
                          </be>
                          <be refId="1093" clsId="FilterNode">
                            <l key="dimensionOids" refId="1094" ln="0" eid="DimensionOid"/>
                            <l key="AdHocParamDimensionOids" refId="1095" ln="0" eid="DimensionOid"/>
                            <be key="data" refId="1096" clsId="FilterNodeData">
                              <ref key="filterNode" refId="1093"/>
                              <s key="dim">VOC</s>
                              <i key="segmentLevel">0</i>
                              <ref key="segment" refId="17"/>
                              <be key="reportingFormula" refId="1097" clsId="ReportingFormula">
                                <b key="serverFormula">N</b>
                                <b key="formulaRule">N</b>
                                <s key="formula">{4}-{9}</s>
                              </be>
                              <be key="dictionaryHeader" refId="1098" clsId="MultiDesc">
                                <a key="desc" refId="1099" ln="4" eid="SYS_STR">
                                  <s>Net Result</s>
                                  <s>Net Result</s>
                                  <s>Net Result</s>
                                  <nl/>
                                </a>
                              </be>
                              <b key="placeHolder">S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>PH</s>
                            <s key="desc"/>
                            <i key="index">0</i>
                            <ref key="parent" refId="1069"/>
                          </be>
                        </l>
                        <ref key="parent" refId="997"/>
                      </be>
                    </l>
                  </be>
                  <be key="columns" refId="1101" clsId="FilterNode">
                    <l key="dimensionOids" refId="1102" ln="0" eid="DimensionOid"/>
                    <l key="AdHocParamDimensionOids" refId="1103" ln="0" eid="DimensionOid"/>
                    <be key="data" refId="1104" clsId="FilterNodeData">
                      <ref key="filterNode" refId="1101"/>
                      <i key="segmentLevel">0</i>
                      <ref key="segment" refId="17"/>
                      <b key="placeHolder">N</b>
                      <ref key="weight" refId="18"/>
                      <be key="textMatchingCondition" refId="11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Columns</s>
                    <i key="index">0</i>
                    <l key="children" refId="1106" ln="12" eid="Framework.com.tagetik.trees.INode,framework">
                      <be refId="1107" clsId="FilterNode">
                        <l key="dimensionOids" refId="1108" ln="1" eid="DimensionOid">
                          <cust clsId="DimensionOid">504552-45-3031---</cust>
                        </l>
                        <l key="AdHocParamDimensionOids" refId="1109" ln="0" eid="DimensionOid"/>
                        <be key="data" refId="1110" clsId="FilterNodeData">
                          <ref key="filterNode" refId="110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1101"/>
                      </be>
                      <be refId="1112" clsId="FilterNode">
                        <l key="dimensionOids" refId="1113" ln="1" eid="DimensionOid">
                          <cust clsId="DimensionOid">504552-45-3032---</cust>
                        </l>
                        <l key="AdHocParamDimensionOids" refId="1114" ln="0" eid="DimensionOid"/>
                        <be key="data" refId="1115" clsId="FilterNodeData">
                          <ref key="filterNode" refId="111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101"/>
                      </be>
                      <be refId="1117" clsId="FilterNode">
                        <l key="dimensionOids" refId="1118" ln="1" eid="DimensionOid">
                          <cust clsId="DimensionOid">504552-45-3033---</cust>
                        </l>
                        <l key="AdHocParamDimensionOids" refId="1119" ln="0" eid="DimensionOid"/>
                        <be key="data" refId="1120" clsId="FilterNodeData">
                          <ref key="filterNode" refId="111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1101"/>
                      </be>
                      <be refId="1122" clsId="FilterNode">
                        <l key="dimensionOids" refId="1123" ln="1" eid="DimensionOid">
                          <cust clsId="DimensionOid">504552-45-3034---</cust>
                        </l>
                        <l key="AdHocParamDimensionOids" refId="1124" ln="0" eid="DimensionOid"/>
                        <be key="data" refId="1125" clsId="FilterNodeData">
                          <ref key="filterNode" refId="112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1101"/>
                      </be>
                      <be refId="1127" clsId="FilterNode">
                        <l key="dimensionOids" refId="1128" ln="1" eid="DimensionOid">
                          <cust clsId="DimensionOid">504552-45-3035---</cust>
                        </l>
                        <l key="AdHocParamDimensionOids" refId="1129" ln="0" eid="DimensionOid"/>
                        <be key="data" refId="1130" clsId="FilterNodeData">
                          <ref key="filterNode" refId="112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1101"/>
                      </be>
                      <be refId="1132" clsId="FilterNode">
                        <l key="dimensionOids" refId="1133" ln="1" eid="DimensionOid">
                          <cust clsId="DimensionOid">504552-45-3036---</cust>
                        </l>
                        <l key="AdHocParamDimensionOids" refId="1134" ln="0" eid="DimensionOid"/>
                        <be key="data" refId="1135" clsId="FilterNodeData">
                          <ref key="filterNode" refId="113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1101"/>
                      </be>
                      <be refId="1137" clsId="FilterNode">
                        <l key="dimensionOids" refId="1138" ln="1" eid="DimensionOid">
                          <cust clsId="DimensionOid">504552-45-3037---</cust>
                        </l>
                        <l key="AdHocParamDimensionOids" refId="1139" ln="0" eid="DimensionOid"/>
                        <be key="data" refId="1140" clsId="FilterNodeData">
                          <ref key="filterNode" refId="113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1101"/>
                      </be>
                      <be refId="1142" clsId="FilterNode">
                        <l key="dimensionOids" refId="1143" ln="1" eid="DimensionOid">
                          <cust clsId="DimensionOid">504552-45-3038---</cust>
                        </l>
                        <l key="AdHocParamDimensionOids" refId="1144" ln="0" eid="DimensionOid"/>
                        <be key="data" refId="1145" clsId="FilterNodeData">
                          <ref key="filterNode" refId="114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i key="index">0</i>
                        <ref key="parent" refId="1101"/>
                      </be>
                      <be refId="1147" clsId="FilterNode">
                        <l key="dimensionOids" refId="1148" ln="1" eid="DimensionOid">
                          <cust clsId="DimensionOid">504552-45-3039---</cust>
                        </l>
                        <l key="AdHocParamDimensionOids" refId="1149" ln="0" eid="DimensionOid"/>
                        <be key="data" refId="1150" clsId="FilterNodeData">
                          <ref key="filterNode" refId="114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i key="index">0</i>
                        <ref key="parent" refId="1101"/>
                      </be>
                      <be refId="1152" clsId="FilterNode">
                        <l key="dimensionOids" refId="1153" ln="1" eid="DimensionOid">
                          <cust clsId="DimensionOid">504552-45-3130---</cust>
                        </l>
                        <l key="AdHocParamDimensionOids" refId="1154" ln="0" eid="DimensionOid"/>
                        <be key="data" refId="1155" clsId="FilterNodeData">
                          <ref key="filterNode" refId="115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i key="index">0</i>
                        <ref key="parent" refId="1101"/>
                      </be>
                      <be refId="1157" clsId="FilterNode">
                        <l key="dimensionOids" refId="1158" ln="1" eid="DimensionOid">
                          <cust clsId="DimensionOid">504552-45-3131---</cust>
                        </l>
                        <l key="AdHocParamDimensionOids" refId="1159" ln="0" eid="DimensionOid"/>
                        <be key="data" refId="1160" clsId="FilterNodeData">
                          <ref key="filterNode" refId="115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i key="index">0</i>
                        <ref key="parent" refId="1101"/>
                      </be>
                      <be refId="1162" clsId="FilterNode">
                        <l key="dimensionOids" refId="1163" ln="1" eid="DimensionOid">
                          <cust clsId="DimensionOid">504552-45-3132---</cust>
                        </l>
                        <l key="AdHocParamDimensionOids" refId="1164" ln="0" eid="DimensionOid"/>
                        <be key="data" refId="1165" clsId="FilterNodeData">
                          <ref key="filterNode" refId="1162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i key="index">0</i>
                        <ref key="parent" refId="1101"/>
                      </be>
                    </l>
                  </be>
                  <be key="matrixFilters" refId="1167" clsId="FilterNode">
                    <l key="dimensionOids" refId="1168" ln="0" eid="DimensionOid"/>
                    <l key="AdHocParamDimensionOids" refId="1169" ln="0" eid="DimensionOid"/>
                    <be key="data" refId="1170" clsId="FilterNodeData">
                      <ref key="filterNode" refId="1167"/>
                      <i key="segmentLevel">0</i>
                      <ref key="segment" refId="17"/>
                      <b key="placeHolder">N</b>
                      <ref key="weight" refId="18"/>
                      <be key="textMatchingCondition" refId="11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Matrix</s>
                    <i key="index">0</i>
                    <l key="children" refId="1172" ln="1" eid="Framework.com.tagetik.trees.INode,framework">
                      <be refId="1173" clsId="FilterNode">
                        <l key="dimensionOids" refId="1174" ln="1" eid="DimensionOid">
                          <cust clsId="DimensionOid">434154-45-24414D4F554E54---</cust>
                        </l>
                        <l key="AdHocParamDimensionOids" refId="1175" ln="0" eid="DimensionOid"/>
                        <be key="data" refId="1176" clsId="FilterNodeData">
                          <ref key="filterNode" refId="1173"/>
                          <s key="dim">CAT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178" ln="1" eid="Framework.com.tagetik.trees.INode,framework">
                          <be refId="1179" clsId="FilterNode">
                            <l key="dimensionOids" refId="1180" ln="1" eid="DimensionOid">
                              <cust clsId="DimensionOid">4C554E504552-45-4C554E5F31---</cust>
                            </l>
                            <l key="AdHocParamDimensionOids" refId="1181" ln="0" eid="DimensionOid"/>
                            <be key="data" refId="1182" clsId="FilterNodeData">
                              <ref key="filterNode" refId="1179"/>
                              <s key="dim">LUNPER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i key="index">0</i>
                            <ref key="parent" refId="1173"/>
                          </be>
                        </l>
                        <ref key="parent" refId="1167"/>
                      </be>
                    </l>
                  </be>
                  <be key="rowHeaders" refId="1184" clsId="ReportingHeaders">
                    <m key="headers" refId="1185" keid="SYS_PR_I" veid="System.Collections.IList">
                      <key>
                        <i>-2</i>
                      </key>
                      <val>
                        <l refId="1186" ln="1">
                          <s>$Scenario.desc</s>
                        </l>
                      </val>
                      <key>
                        <i>-1</i>
                      </key>
                      <val>
                        <l refId="1187" ln="1">
                          <s>$Account.desc</s>
                        </l>
                      </val>
                    </m>
                    <m key="headersDims" refId="1188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1189" clsId="ReportingHeaders">
                    <m key="headers" refId="1190" keid="SYS_PR_I" veid="System.Collections.IList">
                      <key>
                        <i>-1</i>
                      </key>
                      <val>
                        <l refId="1191" ln="1">
                          <s>$Period.desc</s>
                        </l>
                      </val>
                    </m>
                    <m key="headersDims" refId="1192" keid="SYS_PR_I" veid="SYS_STR">
                      <key>
                        <i>-1</i>
                      </key>
                      <val>
                        <s>PER</s>
                      </val>
                    </m>
                  </be>
                  <ref key="styleType" refId="381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e key="disableHints" refId="1193" id="MatrixHintsPolicy">C</e>
                  <ref key="tipoAllineamentoLordiIC" refId="385"/>
                  <b key="bindOriginalAmountOnSave">N</b>
                  <b key="showLink">N</b>
                  <i key="index">1</i>
                  <b key="excludeValuatingSheetsWithZeroValues">N</b>
                  <m key="addictionalStyleSheets" refId="119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95" ln="0" eid="Reporting.com.tagetik.tables.IMatixCellLeafPositions,Reporting"/>
                  <m key="forcedEditModes" refId="1196" keid="Reporting.com.tagetik.tables.IMatixCellLeafPositions,Reporting" veid="SYS_STR"/>
                  <b key="UseTxlDeFormEditor">N</b>
                  <be key="TxDeFormsEditorDescriptor" refId="1197" clsId="TxDeFormsEditorDescriptor">
                    <l key="Tabs" refId="119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199" keid="SYS_STR" veid="CodeCellField">
              <key>
                <s>CellField03</s>
              </key>
              <val>
                <be refId="1200" clsId="CodeCellField">
                  <s key="code">CellField03</s>
                  <s key="cellField">
                    CONCATENATE("Run by ",user.desc," on ",report.runDate)
                    <ch cod="0a"/>
                  </s>
                </be>
              </val>
            </m>
            <m key="dictionary" refId="1201" keid="SYS_STR" veid="CodeMultiDescVO"/>
            <m key="controlExpressions" refId="1202" keid="SYS_STR" veid="CodedExpControlloProspetto"/>
            <m key="inlineParameters" refId="1203" keid="SYS_STR" veid="CodedInlineParameter">
              <key>
                <s>InlineParameter01</s>
              </key>
              <val>
                <be refId="1204" clsId="CodedInlineParameter">
                  <s key="code">InlineParameter01</s>
                  <be key="inlineParameter" refId="1205" clsId="InlineParameter">
                    <cust key="oid" clsId="DimensionOid">534345-45-5350424447--50-</cust>
                  </be>
                </be>
              </val>
              <key>
                <s>InlineParameter00</s>
              </key>
              <val>
                <be refId="1206" clsId="CodedInlineParameter">
                  <s key="code">InlineParameter00</s>
                  <be key="inlineParameter" refId="1207" clsId="InlineParameter">
                    <cust key="oid" clsId="DimensionOid">415A495F3130-45-524547494F4E414C5F56494557--50-</cust>
                  </be>
                </be>
              </val>
            </m>
            <m key="queries" refId="1208" keid="SYS_STR" veid="Reporting.com.tagetik.query.IUserDefinedQueryVO,Reporting"/>
            <be key="sheets" refId="1209" clsId="FilterNode">
              <l key="dimensionOids" refId="1210" ln="0" eid="DimensionOid"/>
              <l key="AdHocParamDimensionOids" refId="1211" ln="0" eid="DimensionOid"/>
              <be key="data" refId="1212" clsId="FilterNodeData">
                <ref key="filterNode" refId="1209"/>
                <i key="segmentLevel">0</i>
                <ref key="segment" refId="424"/>
                <b key="placeHolder">N</b>
                <ref key="weight" refId="18"/>
                <be key="textMatchingCondition" refId="1213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1214" keid="SYS_STR" veid="ElaborationsLauncher"/>
            <m key="actionLists" refId="1215" keid="SYS_STR" veid="Reporting.com.tagetik.actionlist.ISnapshotActionList,Reporting">
              <key>
                <s>Hyperlink00</s>
              </key>
              <val>
                <be refId="1216" clsId="ActionList">
                  <be key="rootStep" refId="1217" clsId="ActionNode">
                    <be key="parameters" refId="1218" clsId="ActionListParameters">
                      <s key="cod">Hyperlink00</s>
                      <be key="desc" refId="1219" clsId="MultiDesc">
                        <a key="desc" refId="1220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</be>
                    <s key="actionDescriptorCode">AL</s>
                    <cust key="id" clsId="FilterOid">1</cust>
                    <b key="leaf">N</b>
                    <i key="index">0</i>
                    <l key="children" refId="1221" ln="1" eid="Framework.com.tagetik.trees.INode,framework">
                      <be refId="1222" clsId="ActionNode">
                        <be key="parameters" refId="1223" clsId="OpenReportParameters">
                          <l key="oidReports" refId="1224" ln="1" eid="Framework.com.tagetik.trees.Oid,framework">
                            <cust clsId="DimensionOid">50524F53504554544F-45-323130305F303530-423134303130--</cust>
                          </l>
                          <e key="openTargetMode" refId="1225" id="OpenTargetMode">D</e>
                          <s key="processCode">BUDGET</s>
                          <b key="inheritProcessCode">N</b>
                          <be key="parametersMapping" refId="1226" clsId="ParametersMapping">
                            <m key="SystemParametersValues" refId="1227" keid="SYS_STR" veid="Reporting.com.tagetik.report.parametersValue.IParameterValue,Reporting">
                              <key>
                                <s>415A495F3130-45-524547494F4E414C5F56494557--50-</s>
                              </key>
                              <val>
                                <be refId="1228" clsId="StringParameterValue">
                                  <e key="ParamSetType" refId="1229" id="ParamSetType">AUTO_EREDITA</e>
                                  <s key="Value">${INHERIT}</s>
                                </be>
                              </val>
                              <key>
                                <s>534345-45-5350424447--50-</s>
                              </key>
                              <val>
                                <be refId="1230" clsId="StringParameterValue">
                                  <ref key="ParamSetType" refId="1229"/>
                                  <s key="Value">${INHERIT}</s>
                                </be>
                              </val>
                            </m>
                            <be key="ParametersUnion" refId="1231" clsId="ParametersUnion">
                              <l key="SystemParameters" refId="1232" ln="2" eid="ProspParametro">
                                <be refId="1233" clsId="ProspParametroDim">
                                  <s key="codDimensione">AZI</s>
                                  <a key="allowedOids" refId="1234" ln="0" eid="DimensionOid"/>
                                  <b key="allowsLeafs">S</b>
                                  <b key="allowsNodes">S</b>
                                  <b key="automatico">N</b>
                                  <e key="tipoDinamicita" refId="1235" id="DynamicEnum"/>
                                  <s key="script"/>
                                  <s key="codGerarchia">10</s>
                                  <e key="allowOr" refId="1236" id="AllowOrEnum">D</e>
                                  <e key="autoValorizzaSeOmesso" refId="1237" id="AutoValorizzaSeOmessoEnum">D</e>
                                  <cust key="oid" clsId="DimensionOid">415A495F3130-45-524547494F4E414C5F56494557--50-</cust>
                                  <set key="oidValori" refId="1238" ln="0" eid="DimensionOid"/>
                                  <b key="limParametro">N</b>
                                  <b key="limProcessoDisabilitata">N</b>
                                  <b key="sistema">N</b>
                                  <b key="netClient">S</b>
                                  <s key="descLunga0"/>
                                  <s key="descLunga1"/>
                                  <s key="descLunga2"/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REGIONAL_VIEW</s>
                                  <be key="multiDescVO" refId="1239" clsId="MultiDesc">
                                    <a key="desc" refId="1240" ln="4" eid="SYS_STR">
                                      <s>Regional View Entity Selection</s>
                                      <s>Regional View Entity Selection</s>
                                      <s>Regional View Entity Selection</s>
                                      <nl/>
                                    </a>
                                  </be>
                                </be>
                                <be refId="1241" clsId="ProspParametroDim">
                                  <s key="codDimensione">SCE</s>
                                  <a key="allowedOids" refId="1242" ln="0" eid="DimensionOid"/>
                                  <b key="allowsLeafs">S</b>
                                  <b key="allowsNodes">S</b>
                                  <b key="automatico">N</b>
                                  <ref key="tipoDinamicita" refId="1235"/>
                                  <s key="script">
                                    TGKML 1.0
                                    <ch cod="0a"/>
                                    result :=
                                  </s>
                                  <e key="allowOr" refId="1243" id="AllowOrEnum">N</e>
                                  <ref key="autoValorizzaSeOmesso" refId="1237"/>
                                  <cust key="oid" clsId="DimensionOid">534345-45-5350424447--50-</cust>
                                  <set key="oidValori" refId="1244" ln="3" eid="DimensionOid">
                                    <cust clsId="DimensionOid">534345-45-323031354244475631---</cust>
                                    <cust clsId="DimensionOid">534345-45-32303135424447---</cust>
                                    <cust clsId="DimensionOid">534345-45-323031354244475632---</cust>
                                  </set>
                                  <b key="limParametro">N</b>
                                  <b key="limProcessoDisabilitata">N</b>
                                  <b key="sistema">N</b>
                                  <b key="netClient">S</b>
                                  <s key="descLunga0">Scenario  Parametrico Budget</s>
                                  <s key="descLunga1">Parametric Budget Scenario</s>
                                  <s key="descLunga3"/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SPBDG</s>
                                  <be key="multiDescVO" refId="1245" clsId="MultiDesc">
                                    <a key="desc" refId="1246" ln="4" eid="SYS_STR">
                                      <s>Scenario Budget</s>
                                      <s>Budget Scenario</s>
                                      <nl/>
                                      <s/>
                                    </a>
                                  </be>
                                </be>
                              </l>
                              <m key="SystemVisibilities" refId="1247" keid="SYS_STR" veid="ParameterValuesVisibilities">
                                <key>
                                  <s>415A495F3130-45-524547494F4E414C5F56494557--50-</s>
                                </key>
                                <val>
                                  <be refId="1248" clsId="ParameterValuesVisibilities">
                                    <set key="showOids" refId="1249" ln="0" eid="DimensionOid"/>
                                    <b key="allValues">S</b>
                                  </be>
                                </val>
                                <key>
                                  <s>534345-45-5350424447--50-</s>
                                </key>
                                <val>
                                  <be refId="1250" clsId="ParameterValuesVisibilities">
                                    <set key="showOids" refId="1251" ln="0" eid="DimensionOid"/>
                                    <b key="allValues">S</b>
                                  </be>
                                </val>
                              </m>
                              <l key="AreaNames" refId="1252" ln="0" eid="ProspParametro"/>
                              <m key="AdHocParameters" refId="1253"/>
                              <m key="AdHocVisibilities" refId="1254"/>
                            </be>
                          </be>
                          <e key="valuelessParamMode" refId="1255" id="ValuelessParamMode">1</e>
                        </be>
                        <s key="actionDescriptorCode">OPEN</s>
                        <cust key="id" clsId="FilterOid">2</cust>
                        <b key="leaf">N</b>
                        <i key="index">0</i>
                        <ref key="parent" refId="1217"/>
                      </be>
                    </l>
                  </be>
                </be>
              </val>
            </m>
            <l key="areas" refId="1256" ln="1" eid="SYS_STR">
              <s>BOOK</s>
            </l>
            <l key="charts" refId="1257" ln="4" eid="SYS_STR">
              <s>Chart 1</s>
              <s>Chart 2</s>
              <s>Chart 4</s>
              <s>Chart 5</s>
            </l>
            <l key="pivots" refId="1258" ln="0" eid="SYS_STR"/>
          </be>
        </val>
        <key>
          <s>Template01</s>
        </key>
        <val>
          <be refId="1259" clsId="ReportTemplateVO">
            <s key="code">Template01</s>
            <s key="desc">CF</s>
            <m key="matrices" refId="1260" keid="SYS_STR" veid="Reporting.com.tagetik.tables.IMatrixPositionBlockVO,Reporting">
              <key>
                <s>CASH FLOW</s>
              </key>
              <val>
                <be refId="1261" clsId="MatrixPositionBlockVO">
                  <s key="positionID">CASH FLOW</s>
                  <be key="rows" refId="1262" clsId="FilterNode">
                    <l key="dimensionOids" refId="1263" ln="0" eid="DimensionOid"/>
                    <l key="AdHocParamDimensionOids" refId="1264" ln="0" eid="DimensionOid"/>
                    <be key="data" refId="1265" clsId="FilterNodeData">
                      <be key="filterNode" refId="1266" clsId="FilterNode">
                        <l key="dimensionOids" refId="1267" ln="0" eid="DimensionOid"/>
                        <l key="AdHocParamDimensionOids" refId="1268" ln="0" eid="DimensionOid"/>
                        <be key="data" refId="1269" clsId="FilterNodeData">
                          <ref key="filterNode" refId="1266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i key="index">0</i>
                        <l key="children" refId="1271" ln="0" eid="Framework.com.tagetik.trees.INode,framework"/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12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1273" ln="90" eid="Framework.com.tagetik.trees.INode,framework">
                      <be refId="1274" clsId="FilterNode">
                        <l key="dimensionOids" refId="1275" ln="1" eid="DimensionOid">
                          <cust clsId="DimensionOid">564F43-45-31303532302D303130-3033357C3130303130---53-45</cust>
                        </l>
                        <l key="AdHocParamDimensionOids" refId="1276" ln="0" eid="DimensionOid"/>
                        <be key="data" refId="1277" clsId="FilterNodeData">
                          <ref key="filterNode" refId="127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7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s key="cod"/>
                        <s key="desc"/>
                        <i key="index">0</i>
                        <l key="children" refId="1280" ln="0" eid="Framework.com.tagetik.trees.INode,framework"/>
                        <ref key="parent" refId="1262"/>
                      </be>
                      <be refId="1281" clsId="FilterNode">
                        <l key="dimensionOids" refId="1282" ln="1" eid="DimensionOid">
                          <cust clsId="DimensionOid">564F43-45-31303532352D303130-3033357C3130303130---53-45</cust>
                        </l>
                        <l key="AdHocParamDimensionOids" refId="1283" ln="0" eid="DimensionOid"/>
                        <be key="data" refId="1284" clsId="FilterNodeData">
                          <ref key="filterNode" refId="128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8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1</i>
                        <l key="children" refId="1287" ln="0" eid="Framework.com.tagetik.trees.INode,framework"/>
                        <ref key="parent" refId="1262"/>
                      </be>
                      <be refId="1288" clsId="FilterNode">
                        <l key="dimensionOids" refId="1289" ln="1" eid="DimensionOid">
                          <cust clsId="DimensionOid">564F43-45-31303533302D303130-3033357C3130303130---53-45</cust>
                        </l>
                        <l key="AdHocParamDimensionOids" refId="1290" ln="0" eid="DimensionOid"/>
                        <be key="data" refId="1291" clsId="FilterNodeData">
                          <ref key="filterNode" refId="128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29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2</i>
                        <l key="children" refId="1294" ln="0" eid="Framework.com.tagetik.trees.INode,framework"/>
                        <ref key="parent" refId="1262"/>
                      </be>
                      <be refId="1295" clsId="FilterNode">
                        <l key="dimensionOids" refId="1296" ln="1" eid="DimensionOid">
                          <cust clsId="DimensionOid">564F43-45-31303533352D303130-3033357C3130303130---53-45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3</i>
                        <l key="children" refId="1301" ln="0" eid="Framework.com.tagetik.trees.INode,framework"/>
                        <ref key="parent" refId="1262"/>
                      </be>
                      <be refId="1302" clsId="FilterNode">
                        <l key="dimensionOids" refId="1303" ln="1" eid="DimensionOid">
                          <cust clsId="DimensionOid">564F43-45-32303532302D303130-3033357C3130303130---53-45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0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s key="cod"/>
                        <s key="desc"/>
                        <i key="index">4</i>
                        <l key="children" refId="1308" ln="0" eid="Framework.com.tagetik.trees.INode,framework"/>
                        <ref key="parent" refId="1262"/>
                      </be>
                      <be refId="1309" clsId="FilterNode">
                        <l key="dimensionOids" refId="1310" ln="1" eid="DimensionOid">
                          <cust clsId="DimensionOid">564F43-45-32303532352D303130-3033357C3130303130---53-45</cust>
                        </l>
                        <l key="AdHocParamDimensionOids" refId="1311" ln="0" eid="DimensionOid"/>
                        <be key="data" refId="1312" clsId="FilterNodeData">
                          <ref key="filterNode" refId="130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1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s key="cod"/>
                        <s key="desc"/>
                        <i key="index">5</i>
                        <l key="children" refId="1315" ln="0" eid="Framework.com.tagetik.trees.INode,framework"/>
                        <ref key="parent" refId="1262"/>
                      </be>
                      <be refId="1316" clsId="FilterNode">
                        <l key="dimensionOids" refId="1317" ln="1" eid="DimensionOid">
                          <cust clsId="DimensionOid">564F43-4E-3033357C3130303130----53-45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VOC</s>
                          <i key="segmentLevel">0</i>
                          <ref key="segment" refId="424"/>
                          <be key="reportingFormula" refId="1320" clsId="ReportingFormula">
                            <b key="serverFormula">N</b>
                            <b key="formulaRule">N</b>
                            <s key="formula">SUBTOTAL(9, {3}:{8})</s>
                          </be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s key="cod"/>
                        <s key="desc"/>
                        <i key="index">6</i>
                        <l key="children" refId="1323" ln="0" eid="Framework.com.tagetik.trees.INode,framework"/>
                        <ref key="parent" refId="1262"/>
                      </be>
                      <be refId="1324" clsId="FilterNode">
                        <l key="dimensionOids" refId="1325" ln="1" eid="DimensionOid">
                          <cust clsId="DimensionOid">564F43-45-31303132302D303630-3033357C3130303230---53-45</cust>
                        </l>
                        <l key="AdHocParamDimensionOids" refId="1326" ln="0" eid="DimensionOid"/>
                        <be key="data" refId="1327" clsId="FilterNodeData">
                          <ref key="filterNode" refId="13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7</i>
                        <l key="children" refId="1330" ln="0" eid="Framework.com.tagetik.trees.INode,framework"/>
                        <ref key="parent" refId="1262"/>
                      </be>
                      <be refId="1331" clsId="FilterNode">
                        <l key="dimensionOids" refId="1332" ln="1" eid="DimensionOid">
                          <cust clsId="DimensionOid">564F43-45-31303132312D303630-3033357C3130303230---53-45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s key="cod"/>
                        <s key="desc"/>
                        <i key="index">8</i>
                        <l key="children" refId="1337" ln="0" eid="Framework.com.tagetik.trees.INode,framework"/>
                        <ref key="parent" refId="1262"/>
                      </be>
                      <be refId="1338" clsId="FilterNode">
                        <l key="dimensionOids" refId="1339" ln="1" eid="DimensionOid">
                          <cust clsId="DimensionOid">564F43-45-31303132352D303630-3033357C3130303230---53-45</cust>
                        </l>
                        <l key="AdHocParamDimensionOids" refId="1340" ln="0" eid="DimensionOid"/>
                        <be key="data" refId="1341" clsId="FilterNodeData">
                          <ref key="filterNode" refId="13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/>
                        <s key="desc"/>
                        <i key="index">9</i>
                        <l key="children" refId="1344" ln="0" eid="Framework.com.tagetik.trees.INode,framework"/>
                        <ref key="parent" refId="1262"/>
                      </be>
                      <be refId="1345" clsId="FilterNode">
                        <l key="dimensionOids" refId="1346" ln="1" eid="DimensionOid">
                          <cust clsId="DimensionOid">564F43-45-31303531302D303630-3033357C3130303230---53-45</cust>
                        </l>
                        <l key="AdHocParamDimensionOids" refId="1347" ln="0" eid="DimensionOid"/>
                        <be key="data" refId="1348" clsId="FilterNodeData">
                          <ref key="filterNode" refId="134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4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s key="cod"/>
                        <s key="desc"/>
                        <i key="index">10</i>
                        <l key="children" refId="1351" ln="0" eid="Framework.com.tagetik.trees.INode,framework"/>
                        <ref key="parent" refId="1262"/>
                      </be>
                      <be refId="1352" clsId="FilterNode">
                        <l key="dimensionOids" refId="1353" ln="1" eid="DimensionOid">
                          <cust clsId="DimensionOid">564F43-45-31303534302D303630-3033357C3130303230---53-45</cust>
                        </l>
                        <l key="AdHocParamDimensionOids" refId="1354" ln="0" eid="DimensionOid"/>
                        <be key="data" refId="1355" clsId="FilterNodeData">
                          <ref key="filterNode" refId="135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5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5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s key="cod"/>
                        <s key="desc"/>
                        <i key="index">11</i>
                        <l key="children" refId="1358" ln="0" eid="Framework.com.tagetik.trees.INode,framework"/>
                        <ref key="parent" refId="1262"/>
                      </be>
                      <be refId="1359" clsId="FilterNode">
                        <l key="dimensionOids" refId="1360" ln="1" eid="DimensionOid">
                          <cust clsId="DimensionOid">564F43-45-3530303130-3033357C3130303230---53-45</cust>
                        </l>
                        <l key="AdHocParamDimensionOids" refId="1361" ln="0" eid="DimensionOid"/>
                        <be key="data" refId="1362" clsId="FilterNodeData">
                          <ref key="filterNode" refId="135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6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6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s key="cod"/>
                        <s key="desc"/>
                        <i key="index">12</i>
                        <l key="children" refId="1365" ln="0" eid="Framework.com.tagetik.trees.INode,framework"/>
                        <ref key="parent" refId="1262"/>
                      </be>
                      <be refId="1366" clsId="FilterNode">
                        <l key="dimensionOids" refId="1367" ln="1" eid="DimensionOid">
                          <cust clsId="DimensionOid">564F43-45-3530303230-3033357C3130303230---53-45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/>
                        <s key="desc"/>
                        <i key="index">13</i>
                        <l key="children" refId="1372" ln="0" eid="Framework.com.tagetik.trees.INode,framework"/>
                        <ref key="parent" refId="1262"/>
                      </be>
                      <be refId="1373" clsId="FilterNode">
                        <l key="dimensionOids" refId="1374" ln="1" eid="DimensionOid">
                          <cust clsId="DimensionOid">564F43-45-3530343330-3033357C3130303230---53-45</cust>
                        </l>
                        <l key="AdHocParamDimensionOids" refId="1375" ln="0" eid="DimensionOid"/>
                        <be key="data" refId="1376" clsId="FilterNodeData">
                          <ref key="filterNode" refId="137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7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s key="cod"/>
                        <s key="desc"/>
                        <i key="index">14</i>
                        <l key="children" refId="1379" ln="0" eid="Framework.com.tagetik.trees.INode,framework"/>
                        <ref key="parent" refId="1262"/>
                      </be>
                      <be refId="1380" clsId="FilterNode">
                        <l key="dimensionOids" refId="1381" ln="1" eid="DimensionOid">
                          <cust clsId="DimensionOid">564F43-45-3530343530-3033357C3130303230---53-45</cust>
                        </l>
                        <l key="AdHocParamDimensionOids" refId="1382" ln="0" eid="DimensionOid"/>
                        <be key="data" refId="1383" clsId="FilterNodeData">
                          <ref key="filterNode" refId="138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8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8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/>
                        <s key="desc"/>
                        <i key="index">15</i>
                        <l key="children" refId="1386" ln="0" eid="Framework.com.tagetik.trees.INode,framework"/>
                        <ref key="parent" refId="1262"/>
                      </be>
                      <be refId="1387" clsId="FilterNode">
                        <l key="dimensionOids" refId="1388" ln="1" eid="DimensionOid">
                          <cust clsId="DimensionOid">564F43-45-3530343535-3033357C3130303230---53-45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39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19</cust>
                        <s key="cod"/>
                        <s key="desc"/>
                        <i key="index">16</i>
                        <l key="children" refId="1393" ln="0" eid="Framework.com.tagetik.trees.INode,framework"/>
                        <ref key="parent" refId="1262"/>
                      </be>
                      <be refId="1394" clsId="FilterNode">
                        <l key="dimensionOids" refId="1395" ln="1" eid="DimensionOid">
                          <cust clsId="DimensionOid">564F43-4E-3033357C3130303230----53-45</cust>
                        </l>
                        <l key="AdHocParamDimensionOids" refId="1396" ln="0" eid="DimensionOid"/>
                        <be key="data" refId="1397" clsId="FilterNodeData">
                          <ref key="filterNode" refId="1394"/>
                          <s key="dim">VOC</s>
                          <i key="segmentLevel">0</i>
                          <ref key="segment" refId="424"/>
                          <be key="reportingFormula" refId="1398" clsId="ReportingFormula">
                            <b key="serverFormula">N</b>
                            <b key="formulaRule">N</b>
                            <s key="formula">SUBTOTAL(9, {10}:{19})</s>
                          </be>
                          <b key="placeHolder">N</b>
                          <ref key="weight" refId="18"/>
                          <be key="textMatchingCondition" refId="139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/>
                        <s key="desc"/>
                        <i key="index">17</i>
                        <l key="children" refId="1401" ln="0" eid="Framework.com.tagetik.trees.INode,framework"/>
                        <ref key="parent" refId="1262"/>
                      </be>
                      <be refId="1402" clsId="FilterNode">
                        <l key="dimensionOids" refId="1403" ln="1" eid="DimensionOid">
                          <cust clsId="DimensionOid">564F43-45-32303031302D303230-3033357C3130303330---53-45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0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21</cust>
                        <s key="cod"/>
                        <s key="desc"/>
                        <i key="index">18</i>
                        <l key="children" refId="1408" ln="0" eid="Framework.com.tagetik.trees.INode,framework"/>
                        <ref key="parent" refId="1262"/>
                      </be>
                      <be refId="1409" clsId="FilterNode">
                        <l key="dimensionOids" refId="1410" ln="1" eid="DimensionOid">
                          <cust clsId="DimensionOid">564F43-45-32303032302D303230-3033357C3130303330---53-45</cust>
                        </l>
                        <l key="AdHocParamDimensionOids" refId="1411" ln="0" eid="DimensionOid"/>
                        <be key="data" refId="1412" clsId="FilterNodeData">
                          <ref key="filterNode" refId="140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1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22</cust>
                        <s key="cod"/>
                        <s key="desc"/>
                        <i key="index">19</i>
                        <l key="children" refId="1415" ln="0" eid="Framework.com.tagetik.trees.INode,framework"/>
                        <ref key="parent" refId="1262"/>
                      </be>
                      <be refId="1416" clsId="FilterNode">
                        <l key="dimensionOids" refId="1417" ln="1" eid="DimensionOid">
                          <cust clsId="DimensionOid">564F43-45-32303131302D303630-3033357C3130303330---53-45</cust>
                        </l>
                        <l key="AdHocParamDimensionOids" refId="1418" ln="0" eid="DimensionOid"/>
                        <be key="data" refId="1419" clsId="FilterNodeData">
                          <ref key="filterNode" refId="141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2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2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23</cust>
                        <s key="cod"/>
                        <s key="desc"/>
                        <i key="index">20</i>
                        <l key="children" refId="1422" ln="0" eid="Framework.com.tagetik.trees.INode,framework"/>
                        <ref key="parent" refId="1262"/>
                      </be>
                      <be refId="1423" clsId="FilterNode">
                        <l key="dimensionOids" refId="1424" ln="1" eid="DimensionOid">
                          <cust clsId="DimensionOid">564F43-45-32303131352D303630-3033357C3130303330---53-45</cust>
                        </l>
                        <l key="AdHocParamDimensionOids" refId="1425" ln="0" eid="DimensionOid"/>
                        <be key="data" refId="1426" clsId="FilterNodeData">
                          <ref key="filterNode" refId="142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2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2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24</cust>
                        <s key="cod"/>
                        <s key="desc"/>
                        <i key="index">21</i>
                        <l key="children" refId="1429" ln="0" eid="Framework.com.tagetik.trees.INode,framework"/>
                        <ref key="parent" refId="1262"/>
                      </be>
                      <be refId="1430" clsId="FilterNode">
                        <l key="dimensionOids" refId="1431" ln="1" eid="DimensionOid">
                          <cust clsId="DimensionOid">564F43-45-32303132302D303630-3033357C3130303330---53-45</cust>
                        </l>
                        <l key="AdHocParamDimensionOids" refId="1432" ln="0" eid="DimensionOid"/>
                        <be key="data" refId="1433" clsId="FilterNodeData">
                          <ref key="filterNode" refId="143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3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3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25</cust>
                        <s key="cod"/>
                        <s key="desc"/>
                        <i key="index">22</i>
                        <l key="children" refId="1436" ln="0" eid="Framework.com.tagetik.trees.INode,framework"/>
                        <ref key="parent" refId="1262"/>
                      </be>
                      <be refId="1437" clsId="FilterNode">
                        <l key="dimensionOids" refId="1438" ln="1" eid="DimensionOid">
                          <cust clsId="DimensionOid">564F43-45-32303132352D303630-3033357C3130303330---53-45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4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26</cust>
                        <s key="cod"/>
                        <s key="desc"/>
                        <i key="index">23</i>
                        <l key="children" refId="1443" ln="0" eid="Framework.com.tagetik.trees.INode,framework"/>
                        <ref key="parent" refId="1262"/>
                      </be>
                      <be refId="1444" clsId="FilterNode">
                        <l key="dimensionOids" refId="1445" ln="1" eid="DimensionOid">
                          <cust clsId="DimensionOid">564F43-45-32303134302D303630-3033357C3130303330---53-45</cust>
                        </l>
                        <l key="AdHocParamDimensionOids" refId="1446" ln="0" eid="DimensionOid"/>
                        <be key="data" refId="1447" clsId="FilterNodeData">
                          <ref key="filterNode" refId="144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4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27</cust>
                        <s key="cod"/>
                        <s key="desc"/>
                        <i key="index">24</i>
                        <l key="children" refId="1450" ln="0" eid="Framework.com.tagetik.trees.INode,framework"/>
                        <ref key="parent" refId="1262"/>
                      </be>
                      <be refId="1451" clsId="FilterNode">
                        <l key="dimensionOids" refId="1452" ln="1" eid="DimensionOid">
                          <cust clsId="DimensionOid">564F43-45-32303231302D303530-3033357C3130303330---53-45</cust>
                        </l>
                        <l key="AdHocParamDimensionOids" refId="1453" ln="0" eid="DimensionOid"/>
                        <be key="data" refId="1454" clsId="FilterNodeData">
                          <ref key="filterNode" refId="145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5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5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28</cust>
                        <s key="cod"/>
                        <s key="desc"/>
                        <i key="index">25</i>
                        <l key="children" refId="1457" ln="0" eid="Framework.com.tagetik.trees.INode,framework"/>
                        <ref key="parent" refId="1262"/>
                      </be>
                      <be refId="1458" clsId="FilterNode">
                        <l key="dimensionOids" refId="1459" ln="1" eid="DimensionOid">
                          <cust clsId="DimensionOid">564F43-45-32303232302D303530-3033357C3130303330---53-45</cust>
                        </l>
                        <l key="AdHocParamDimensionOids" refId="1460" ln="0" eid="DimensionOid"/>
                        <be key="data" refId="1461" clsId="FilterNodeData">
                          <ref key="filterNode" refId="145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6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29</cust>
                        <s key="cod"/>
                        <s key="desc"/>
                        <i key="index">26</i>
                        <l key="children" refId="1464" ln="0" eid="Framework.com.tagetik.trees.INode,framework"/>
                        <ref key="parent" refId="1262"/>
                      </be>
                      <be refId="1465" clsId="FilterNode">
                        <l key="dimensionOids" refId="1466" ln="1" eid="DimensionOid">
                          <cust clsId="DimensionOid">564F43-45-32303332302D313030-3033357C3130303330---53-45</cust>
                        </l>
                        <l key="AdHocParamDimensionOids" refId="1467" ln="0" eid="DimensionOid"/>
                        <be key="data" refId="1468" clsId="FilterNodeData">
                          <ref key="filterNode" refId="146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6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30</cust>
                        <s key="cod"/>
                        <s key="desc"/>
                        <i key="index">27</i>
                        <l key="children" refId="1471" ln="0" eid="Framework.com.tagetik.trees.INode,framework"/>
                        <ref key="parent" refId="1262"/>
                      </be>
                      <be refId="1472" clsId="FilterNode">
                        <l key="dimensionOids" refId="1473" ln="1" eid="DimensionOid">
                          <cust clsId="DimensionOid">564F43-45-32303431302D303630-3033357C3130303330---53-45</cust>
                        </l>
                        <l key="AdHocParamDimensionOids" refId="1474" ln="0" eid="DimensionOid"/>
                        <be key="data" refId="1475" clsId="FilterNodeData">
                          <ref key="filterNode" refId="147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7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7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31</cust>
                        <s key="cod"/>
                        <s key="desc"/>
                        <i key="index">28</i>
                        <l key="children" refId="1478" ln="0" eid="Framework.com.tagetik.trees.INode,framework"/>
                        <ref key="parent" refId="1262"/>
                      </be>
                      <be refId="1479" clsId="FilterNode">
                        <l key="dimensionOids" refId="1480" ln="1" eid="DimensionOid">
                          <cust clsId="DimensionOid">564F43-45-32303432302D303630-3033357C3130303330---53-45</cust>
                        </l>
                        <l key="AdHocParamDimensionOids" refId="1481" ln="0" eid="DimensionOid"/>
                        <be key="data" refId="1482" clsId="FilterNodeData">
                          <ref key="filterNode" refId="147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8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32</cust>
                        <s key="cod"/>
                        <s key="desc"/>
                        <i key="index">29</i>
                        <l key="children" refId="1485" ln="0" eid="Framework.com.tagetik.trees.INode,framework"/>
                        <ref key="parent" refId="1262"/>
                      </be>
                      <be refId="1486" clsId="FilterNode">
                        <l key="dimensionOids" refId="1487" ln="1" eid="DimensionOid">
                          <cust clsId="DimensionOid">564F43-45-32303531302D303630-3033357C3130303330---53-45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33</cust>
                        <s key="cod"/>
                        <s key="desc"/>
                        <i key="index">30</i>
                        <l key="children" refId="1492" ln="0" eid="Framework.com.tagetik.trees.INode,framework"/>
                        <ref key="parent" refId="1262"/>
                      </be>
                      <be refId="1493" clsId="FilterNode">
                        <l key="dimensionOids" refId="1494" ln="1" eid="DimensionOid">
                          <cust clsId="DimensionOid">564F43-45-3530313130-3033357C3130303330---53-45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34</cust>
                        <s key="cod"/>
                        <s key="desc"/>
                        <i key="index">31</i>
                        <l key="children" refId="1499" ln="0" eid="Framework.com.tagetik.trees.INode,framework"/>
                        <ref key="parent" refId="1262"/>
                      </be>
                      <be refId="1500" clsId="FilterNode">
                        <l key="dimensionOids" refId="1501" ln="1" eid="DimensionOid">
                          <cust clsId="DimensionOid">564F43-45-3530323130-3033357C3130303330---53-45</cust>
                        </l>
                        <l key="AdHocParamDimensionOids" refId="1502" ln="0" eid="DimensionOid"/>
                        <be key="data" refId="1503" clsId="FilterNodeData">
                          <ref key="filterNode" refId="150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0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35</cust>
                        <s key="cod"/>
                        <s key="desc"/>
                        <i key="index">32</i>
                        <l key="children" refId="1506" ln="0" eid="Framework.com.tagetik.trees.INode,framework"/>
                        <ref key="parent" refId="1262"/>
                      </be>
                      <be refId="1507" clsId="FilterNode">
                        <l key="dimensionOids" refId="1508" ln="1" eid="DimensionOid">
                          <cust clsId="DimensionOid">564F43-45-3530323230-3033357C3130303330---53-45</cust>
                        </l>
                        <l key="AdHocParamDimensionOids" refId="1509" ln="0" eid="DimensionOid"/>
                        <be key="data" refId="1510" clsId="FilterNodeData">
                          <ref key="filterNode" refId="150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1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36</cust>
                        <s key="cod"/>
                        <s key="desc"/>
                        <i key="index">33</i>
                        <l key="children" refId="1513" ln="0" eid="Framework.com.tagetik.trees.INode,framework"/>
                        <ref key="parent" refId="1262"/>
                      </be>
                      <be refId="1514" clsId="FilterNode">
                        <l key="dimensionOids" refId="1515" ln="1" eid="DimensionOid">
                          <cust clsId="DimensionOid">564F43-45-3530333030-3033357C3130303330---53-45</cust>
                        </l>
                        <l key="AdHocParamDimensionOids" refId="1516" ln="0" eid="DimensionOid"/>
                        <be key="data" refId="1517" clsId="FilterNodeData">
                          <ref key="filterNode" refId="151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1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37</cust>
                        <s key="cod"/>
                        <s key="desc"/>
                        <i key="index">34</i>
                        <l key="children" refId="1520" ln="0" eid="Framework.com.tagetik.trees.INode,framework"/>
                        <ref key="parent" refId="1262"/>
                      </be>
                      <be refId="1521" clsId="FilterNode">
                        <l key="dimensionOids" refId="1522" ln="1" eid="DimensionOid">
                          <cust clsId="DimensionOid">564F43-45-3530333130-3033357C3130303330---53-45</cust>
                        </l>
                        <l key="AdHocParamDimensionOids" refId="1523" ln="0" eid="DimensionOid"/>
                        <be key="data" refId="1524" clsId="FilterNodeData">
                          <ref key="filterNode" refId="152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2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38</cust>
                        <s key="cod"/>
                        <s key="desc"/>
                        <i key="index">35</i>
                        <l key="children" refId="1527" ln="0" eid="Framework.com.tagetik.trees.INode,framework"/>
                        <ref key="parent" refId="1262"/>
                      </be>
                      <be refId="1528" clsId="FilterNode">
                        <l key="dimensionOids" refId="1529" ln="1" eid="DimensionOid">
                          <cust clsId="DimensionOid">564F43-45-3530333135-3033357C3130303330---53-45</cust>
                        </l>
                        <l key="AdHocParamDimensionOids" refId="1530" ln="0" eid="DimensionOid"/>
                        <be key="data" refId="1531" clsId="FilterNodeData">
                          <ref key="filterNode" refId="152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3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39</cust>
                        <s key="cod"/>
                        <s key="desc"/>
                        <i key="index">36</i>
                        <l key="children" refId="1534" ln="0" eid="Framework.com.tagetik.trees.INode,framework"/>
                        <ref key="parent" refId="1262"/>
                      </be>
                      <be refId="1535" clsId="FilterNode">
                        <l key="dimensionOids" refId="1536" ln="1" eid="DimensionOid">
                          <cust clsId="DimensionOid">564F43-45-3530333230-3033357C3130303330---53-45</cust>
                        </l>
                        <l key="AdHocParamDimensionOids" refId="1537" ln="0" eid="DimensionOid"/>
                        <be key="data" refId="1538" clsId="FilterNodeData">
                          <ref key="filterNode" refId="153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3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40</cust>
                        <s key="cod"/>
                        <s key="desc"/>
                        <i key="index">37</i>
                        <l key="children" refId="1541" ln="0" eid="Framework.com.tagetik.trees.INode,framework"/>
                        <ref key="parent" refId="1262"/>
                      </be>
                      <be refId="1542" clsId="FilterNode">
                        <l key="dimensionOids" refId="1543" ln="1" eid="DimensionOid">
                          <cust clsId="DimensionOid">564F43-45-3530333231-3033357C3130303330---53-45</cust>
                        </l>
                        <l key="AdHocParamDimensionOids" refId="1544" ln="0" eid="DimensionOid"/>
                        <be key="data" refId="1545" clsId="FilterNodeData">
                          <ref key="filterNode" refId="154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4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41</cust>
                        <s key="cod"/>
                        <s key="desc"/>
                        <i key="index">38</i>
                        <l key="children" refId="1548" ln="0" eid="Framework.com.tagetik.trees.INode,framework"/>
                        <ref key="parent" refId="1262"/>
                      </be>
                      <be refId="1549" clsId="FilterNode">
                        <l key="dimensionOids" refId="1550" ln="1" eid="DimensionOid">
                          <cust clsId="DimensionOid">564F43-45-3530333233-3033357C3130303330---53-45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43</cust>
                        <s key="cod"/>
                        <s key="desc"/>
                        <i key="index">40</i>
                        <l key="children" refId="1555" ln="0" eid="Framework.com.tagetik.trees.INode,framework"/>
                        <ref key="parent" refId="1262"/>
                      </be>
                      <be refId="1556" clsId="FilterNode">
                        <l key="dimensionOids" refId="1557" ln="1" eid="DimensionOid">
                          <cust clsId="DimensionOid">564F43-45-3530333234-3033357C3130303330---53-45</cust>
                        </l>
                        <l key="AdHocParamDimensionOids" refId="1558" ln="0" eid="DimensionOid"/>
                        <be key="data" refId="1559" clsId="FilterNodeData">
                          <ref key="filterNode" refId="155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6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44</cust>
                        <s key="cod"/>
                        <s key="desc"/>
                        <i key="index">41</i>
                        <l key="children" refId="1562" ln="0" eid="Framework.com.tagetik.trees.INode,framework"/>
                        <ref key="parent" refId="1262"/>
                      </be>
                      <be refId="1563" clsId="FilterNode">
                        <l key="dimensionOids" refId="1564" ln="1" eid="DimensionOid">
                          <cust clsId="DimensionOid">564F43-45-3530333235-3033357C3130303330---53-45</cust>
                        </l>
                        <l key="AdHocParamDimensionOids" refId="1565" ln="0" eid="DimensionOid"/>
                        <be key="data" refId="1566" clsId="FilterNodeData">
                          <ref key="filterNode" refId="156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6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45</cust>
                        <s key="cod"/>
                        <s key="desc"/>
                        <i key="index">42</i>
                        <l key="children" refId="1569" ln="0" eid="Framework.com.tagetik.trees.INode,framework"/>
                        <ref key="parent" refId="1262"/>
                      </be>
                      <be refId="1570" clsId="FilterNode">
                        <l key="dimensionOids" refId="1571" ln="1" eid="DimensionOid">
                          <cust clsId="DimensionOid">564F43-45-3530333236-3033357C3130303330---53-45</cust>
                        </l>
                        <l key="AdHocParamDimensionOids" refId="1572" ln="0" eid="DimensionOid"/>
                        <be key="data" refId="1573" clsId="FilterNodeData">
                          <ref key="filterNode" refId="157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7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46</cust>
                        <s key="cod"/>
                        <s key="desc"/>
                        <i key="index">43</i>
                        <l key="children" refId="1576" ln="0" eid="Framework.com.tagetik.trees.INode,framework"/>
                        <ref key="parent" refId="1262"/>
                      </be>
                      <be refId="1577" clsId="FilterNode">
                        <l key="dimensionOids" refId="1578" ln="1" eid="DimensionOid">
                          <cust clsId="DimensionOid">564F43-45-3530333237-3033357C3130303330---53-45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47</cust>
                        <s key="cod"/>
                        <s key="desc"/>
                        <i key="index">44</i>
                        <l key="children" refId="1583" ln="0" eid="Framework.com.tagetik.trees.INode,framework"/>
                        <ref key="parent" refId="1262"/>
                      </be>
                      <be refId="1584" clsId="FilterNode">
                        <l key="dimensionOids" refId="1585" ln="1" eid="DimensionOid">
                          <cust clsId="DimensionOid">564F43-45-3530333239-3033357C3130303330---53-45</cust>
                        </l>
                        <l key="AdHocParamDimensionOids" refId="1586" ln="0" eid="DimensionOid"/>
                        <be key="data" refId="1587" clsId="FilterNodeData">
                          <ref key="filterNode" refId="158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8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48</cust>
                        <s key="cod"/>
                        <s key="desc"/>
                        <i key="index">45</i>
                        <l key="children" refId="1590" ln="0" eid="Framework.com.tagetik.trees.INode,framework"/>
                        <ref key="parent" refId="1262"/>
                      </be>
                      <be refId="1591" clsId="FilterNode">
                        <l key="dimensionOids" refId="1592" ln="1" eid="DimensionOid">
                          <cust clsId="DimensionOid">564F43-45-3530333330-3033357C3130303330---53-45</cust>
                        </l>
                        <l key="AdHocParamDimensionOids" refId="1593" ln="0" eid="DimensionOid"/>
                        <be key="data" refId="1594" clsId="FilterNodeData">
                          <ref key="filterNode" refId="159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59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49</cust>
                        <s key="cod"/>
                        <s key="desc"/>
                        <i key="index">46</i>
                        <l key="children" refId="1597" ln="0" eid="Framework.com.tagetik.trees.INode,framework"/>
                        <ref key="parent" refId="1262"/>
                      </be>
                      <be refId="1598" clsId="FilterNode">
                        <l key="dimensionOids" refId="1599" ln="1" eid="DimensionOid">
                          <cust clsId="DimensionOid">564F43-45-3530333331-3033357C3130303330---53-45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50</cust>
                        <s key="cod"/>
                        <s key="desc"/>
                        <i key="index">47</i>
                        <l key="children" refId="1604" ln="0" eid="Framework.com.tagetik.trees.INode,framework"/>
                        <ref key="parent" refId="1262"/>
                      </be>
                      <be refId="1605" clsId="FilterNode">
                        <l key="dimensionOids" refId="1606" ln="1" eid="DimensionOid">
                          <cust clsId="DimensionOid">564F43-45-3530333332-3033357C3130303330---53-45</cust>
                        </l>
                        <l key="AdHocParamDimensionOids" refId="1607" ln="0" eid="DimensionOid"/>
                        <be key="data" refId="1608" clsId="FilterNodeData">
                          <ref key="filterNode" refId="160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0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51</cust>
                        <s key="cod"/>
                        <s key="desc"/>
                        <i key="index">48</i>
                        <l key="children" refId="1611" ln="0" eid="Framework.com.tagetik.trees.INode,framework"/>
                        <ref key="parent" refId="1262"/>
                      </be>
                      <be refId="1612" clsId="FilterNode">
                        <l key="dimensionOids" refId="1613" ln="1" eid="DimensionOid">
                          <cust clsId="DimensionOid">564F43-45-3530333333-3033357C3130303330---53-45</cust>
                        </l>
                        <l key="AdHocParamDimensionOids" refId="1614" ln="0" eid="DimensionOid"/>
                        <be key="data" refId="1615" clsId="FilterNodeData">
                          <ref key="filterNode" refId="161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52</cust>
                        <s key="cod"/>
                        <s key="desc"/>
                        <i key="index">49</i>
                        <l key="children" refId="1618" ln="0" eid="Framework.com.tagetik.trees.INode,framework"/>
                        <ref key="parent" refId="1262"/>
                      </be>
                      <be refId="1619" clsId="FilterNode">
                        <l key="dimensionOids" refId="1620" ln="1" eid="DimensionOid">
                          <cust clsId="DimensionOid">564F43-45-3530333334-3033357C3130303330---53-45</cust>
                        </l>
                        <l key="AdHocParamDimensionOids" refId="1621" ln="0" eid="DimensionOid"/>
                        <be key="data" refId="1622" clsId="FilterNodeData">
                          <ref key="filterNode" refId="16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53</cust>
                        <s key="cod"/>
                        <s key="desc"/>
                        <i key="index">50</i>
                        <l key="children" refId="1625" ln="0" eid="Framework.com.tagetik.trees.INode,framework"/>
                        <ref key="parent" refId="1262"/>
                      </be>
                      <be refId="1626" clsId="FilterNode">
                        <l key="dimensionOids" refId="1627" ln="1" eid="DimensionOid">
                          <cust clsId="DimensionOid">564F43-45-3530333335-3033357C3130303330---53-45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54</cust>
                        <s key="cod"/>
                        <s key="desc"/>
                        <i key="index">51</i>
                        <l key="children" refId="1632" ln="0" eid="Framework.com.tagetik.trees.INode,framework"/>
                        <ref key="parent" refId="1262"/>
                      </be>
                      <be refId="1633" clsId="FilterNode">
                        <l key="dimensionOids" refId="1634" ln="1" eid="DimensionOid">
                          <cust clsId="DimensionOid">564F43-45-3530333430-3033357C3130303330---53-45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55</cust>
                        <s key="cod"/>
                        <s key="desc"/>
                        <i key="index">52</i>
                        <l key="children" refId="1639" ln="0" eid="Framework.com.tagetik.trees.INode,framework"/>
                        <ref key="parent" refId="1262"/>
                      </be>
                      <be refId="1640" clsId="FilterNode">
                        <l key="dimensionOids" refId="1641" ln="1" eid="DimensionOid">
                          <cust clsId="DimensionOid">564F43-45-3530333431-3033357C3130303330---53-45</cust>
                        </l>
                        <l key="AdHocParamDimensionOids" refId="1642" ln="0" eid="DimensionOid"/>
                        <be key="data" refId="1643" clsId="FilterNodeData">
                          <ref key="filterNode" refId="164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4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4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56</cust>
                        <s key="cod"/>
                        <s key="desc"/>
                        <i key="index">53</i>
                        <l key="children" refId="1646" ln="0" eid="Framework.com.tagetik.trees.INode,framework"/>
                        <ref key="parent" refId="1262"/>
                      </be>
                      <be refId="1647" clsId="FilterNode">
                        <l key="dimensionOids" refId="1648" ln="1" eid="DimensionOid">
                          <cust clsId="DimensionOid">564F43-45-3530333432-3033357C3130303330---53-45</cust>
                        </l>
                        <l key="AdHocParamDimensionOids" refId="1649" ln="0" eid="DimensionOid"/>
                        <be key="data" refId="1650" clsId="FilterNodeData">
                          <ref key="filterNode" refId="164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5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57</cust>
                        <s key="cod"/>
                        <s key="desc"/>
                        <i key="index">54</i>
                        <l key="children" refId="1653" ln="0" eid="Framework.com.tagetik.trees.INode,framework"/>
                        <ref key="parent" refId="1262"/>
                      </be>
                      <be refId="1654" clsId="FilterNode">
                        <l key="dimensionOids" refId="1655" ln="1" eid="DimensionOid">
                          <cust clsId="DimensionOid">564F43-45-3530333433-3033357C3130303330---53-45</cust>
                        </l>
                        <l key="AdHocParamDimensionOids" refId="1656" ln="0" eid="DimensionOid"/>
                        <be key="data" refId="1657" clsId="FilterNodeData">
                          <ref key="filterNode" refId="165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58</cust>
                        <s key="cod"/>
                        <s key="desc"/>
                        <i key="index">55</i>
                        <l key="children" refId="1660" ln="0" eid="Framework.com.tagetik.trees.INode,framework"/>
                        <ref key="parent" refId="1262"/>
                      </be>
                      <be refId="1661" clsId="FilterNode">
                        <l key="dimensionOids" refId="1662" ln="1" eid="DimensionOid">
                          <cust clsId="DimensionOid">564F43-45-3530333434-3033357C3130303330---53-45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59</cust>
                        <s key="cod"/>
                        <s key="desc"/>
                        <i key="index">56</i>
                        <l key="children" refId="1667" ln="0" eid="Framework.com.tagetik.trees.INode,framework"/>
                        <ref key="parent" refId="1262"/>
                      </be>
                      <be refId="1668" clsId="FilterNode">
                        <l key="dimensionOids" refId="1669" ln="1" eid="DimensionOid">
                          <cust clsId="DimensionOid">564F43-45-3530333435-3033357C3130303330---53-45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60</cust>
                        <s key="cod"/>
                        <s key="desc"/>
                        <i key="index">57</i>
                        <l key="children" refId="1674" ln="0" eid="Framework.com.tagetik.trees.INode,framework"/>
                        <ref key="parent" refId="1262"/>
                      </be>
                      <be refId="1675" clsId="FilterNode">
                        <l key="dimensionOids" refId="1676" ln="1" eid="DimensionOid">
                          <cust clsId="DimensionOid">564F43-45-3530333530-3033357C3130303330---53-45</cust>
                        </l>
                        <l key="AdHocParamDimensionOids" refId="1677" ln="0" eid="DimensionOid"/>
                        <be key="data" refId="1678" clsId="FilterNodeData">
                          <ref key="filterNode" refId="16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61</cust>
                        <s key="cod"/>
                        <s key="desc"/>
                        <i key="index">58</i>
                        <l key="children" refId="1681" ln="0" eid="Framework.com.tagetik.trees.INode,framework"/>
                        <ref key="parent" refId="1262"/>
                      </be>
                      <be refId="1682" clsId="FilterNode">
                        <l key="dimensionOids" refId="1683" ln="1" eid="DimensionOid">
                          <cust clsId="DimensionOid">564F43-45-3530333630-3033357C3130303330---53-45</cust>
                        </l>
                        <l key="AdHocParamDimensionOids" refId="1684" ln="0" eid="DimensionOid"/>
                        <be key="data" refId="1685" clsId="FilterNodeData">
                          <ref key="filterNode" refId="16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62</cust>
                        <s key="cod"/>
                        <s key="desc"/>
                        <i key="index">59</i>
                        <l key="children" refId="1688" ln="0" eid="Framework.com.tagetik.trees.INode,framework"/>
                        <ref key="parent" refId="1262"/>
                      </be>
                      <be refId="1689" clsId="FilterNode">
                        <l key="dimensionOids" refId="1690" ln="1" eid="DimensionOid">
                          <cust clsId="DimensionOid">564F43-45-3530343430-3033357C3130303330---53-45</cust>
                        </l>
                        <l key="AdHocParamDimensionOids" refId="1691" ln="0" eid="DimensionOid"/>
                        <be key="data" refId="1692" clsId="FilterNodeData">
                          <ref key="filterNode" refId="16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6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63</cust>
                        <s key="cod"/>
                        <s key="desc"/>
                        <i key="index">60</i>
                        <l key="children" refId="1695" ln="0" eid="Framework.com.tagetik.trees.INode,framework"/>
                        <ref key="parent" refId="1262"/>
                      </be>
                      <be refId="1696" clsId="FilterNode">
                        <l key="dimensionOids" refId="1697" ln="1" eid="DimensionOid">
                          <cust clsId="DimensionOid">564F43-45-3530343435-3033357C3130303330---53-45</cust>
                        </l>
                        <l key="AdHocParamDimensionOids" refId="1698" ln="0" eid="DimensionOid"/>
                        <be key="data" refId="1699" clsId="FilterNodeData">
                          <ref key="filterNode" refId="16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64</cust>
                        <s key="cod"/>
                        <s key="desc"/>
                        <i key="index">61</i>
                        <l key="children" refId="1702" ln="0" eid="Framework.com.tagetik.trees.INode,framework"/>
                        <ref key="parent" refId="1262"/>
                      </be>
                      <be refId="1703" clsId="FilterNode">
                        <l key="dimensionOids" refId="1704" ln="1" eid="DimensionOid">
                          <cust clsId="DimensionOid">564F43-45-3530343630-3033357C3130303330---53-45</cust>
                        </l>
                        <l key="AdHocParamDimensionOids" refId="1705" ln="0" eid="DimensionOid"/>
                        <be key="data" refId="1706" clsId="FilterNodeData">
                          <ref key="filterNode" refId="170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0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65</cust>
                        <s key="cod"/>
                        <s key="desc"/>
                        <i key="index">62</i>
                        <l key="children" refId="1709" ln="0" eid="Framework.com.tagetik.trees.INode,framework"/>
                        <ref key="parent" refId="1262"/>
                      </be>
                      <be refId="1710" clsId="FilterNode">
                        <l key="dimensionOids" refId="1711" ln="1" eid="DimensionOid">
                          <cust clsId="DimensionOid">564F43-45-3530343635-3033357C3130303330---53-45</cust>
                        </l>
                        <l key="AdHocParamDimensionOids" refId="1712" ln="0" eid="DimensionOid"/>
                        <be key="data" refId="1713" clsId="FilterNodeData">
                          <ref key="filterNode" refId="171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1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1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66</cust>
                        <s key="cod"/>
                        <s key="desc"/>
                        <i key="index">63</i>
                        <l key="children" refId="1716" ln="0" eid="Framework.com.tagetik.trees.INode,framework"/>
                        <ref key="parent" refId="1262"/>
                      </be>
                      <be refId="1717" clsId="FilterNode">
                        <l key="dimensionOids" refId="1718" ln="1" eid="DimensionOid">
                          <cust clsId="DimensionOid">564F43-45-3530343730-3033357C3130303330---53-45</cust>
                        </l>
                        <l key="AdHocParamDimensionOids" refId="1719" ln="0" eid="DimensionOid"/>
                        <be key="data" refId="1720" clsId="FilterNodeData">
                          <ref key="filterNode" refId="171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2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67</cust>
                        <s key="cod"/>
                        <s key="desc"/>
                        <i key="index">64</i>
                        <l key="children" refId="1723" ln="0" eid="Framework.com.tagetik.trees.INode,framework"/>
                        <ref key="parent" refId="1262"/>
                      </be>
                      <be refId="1724" clsId="FilterNode">
                        <l key="dimensionOids" refId="1725" ln="1" eid="DimensionOid">
                          <cust clsId="DimensionOid">564F43-45-3530353130-3033357C3130303330---53-45</cust>
                        </l>
                        <l key="AdHocParamDimensionOids" refId="1726" ln="0" eid="DimensionOid"/>
                        <be key="data" refId="1727" clsId="FilterNodeData">
                          <ref key="filterNode" refId="172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2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2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68</cust>
                        <s key="cod"/>
                        <s key="desc"/>
                        <i key="index">65</i>
                        <l key="children" refId="1730" ln="0" eid="Framework.com.tagetik.trees.INode,framework"/>
                        <ref key="parent" refId="1262"/>
                      </be>
                      <be refId="1731" clsId="FilterNode">
                        <l key="dimensionOids" refId="1732" ln="1" eid="DimensionOid">
                          <cust clsId="DimensionOid">564F43-45-3530363131-3033357C3130303330---53-45</cust>
                        </l>
                        <l key="AdHocParamDimensionOids" refId="1733" ln="0" eid="DimensionOid"/>
                        <be key="data" refId="1734" clsId="FilterNodeData">
                          <ref key="filterNode" refId="173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3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3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69</cust>
                        <s key="cod"/>
                        <s key="desc"/>
                        <i key="index">66</i>
                        <l key="children" refId="1737" ln="0" eid="Framework.com.tagetik.trees.INode,framework"/>
                        <ref key="parent" refId="1262"/>
                      </be>
                      <be refId="1738" clsId="FilterNode">
                        <l key="dimensionOids" refId="1739" ln="1" eid="DimensionOid">
                          <cust clsId="DimensionOid">564F43-45-3530363132-3033357C3130303330---53-45</cust>
                        </l>
                        <l key="AdHocParamDimensionOids" refId="1740" ln="0" eid="DimensionOid"/>
                        <be key="data" refId="1741" clsId="FilterNodeData">
                          <ref key="filterNode" refId="173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4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70</cust>
                        <s key="cod"/>
                        <s key="desc"/>
                        <i key="index">67</i>
                        <l key="children" refId="1744" ln="0" eid="Framework.com.tagetik.trees.INode,framework"/>
                        <ref key="parent" refId="1262"/>
                      </be>
                      <be refId="1745" clsId="FilterNode">
                        <l key="dimensionOids" refId="1746" ln="1" eid="DimensionOid">
                          <cust clsId="DimensionOid">564F43-4E-3033357C3130303330----53-45</cust>
                        </l>
                        <l key="AdHocParamDimensionOids" refId="1747" ln="0" eid="DimensionOid"/>
                        <be key="data" refId="1748" clsId="FilterNodeData">
                          <ref key="filterNode" refId="1745"/>
                          <s key="dim">VOC</s>
                          <i key="segmentLevel">0</i>
                          <ref key="segment" refId="424"/>
                          <be key="reportingFormula" refId="1749" clsId="ReportingFormula">
                            <b key="serverFormula">N</b>
                            <b key="formulaRule">N</b>
                            <s key="formula">SUBTOTAL(9, {21}:{70})</s>
                          </be>
                          <b key="placeHolder">N</b>
                          <ref key="weight" refId="18"/>
                          <be key="textMatchingCondition" refId="175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5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71</cust>
                        <s key="cod"/>
                        <s key="desc"/>
                        <i key="index">68</i>
                        <l key="children" refId="1752" ln="0" eid="Framework.com.tagetik.trees.INode,framework"/>
                        <ref key="parent" refId="1262"/>
                      </be>
                      <be refId="1753" clsId="FilterNode">
                        <l key="dimensionOids" refId="1754" ln="1" eid="DimensionOid">
                          <cust clsId="DimensionOid">564F43-4E-3033357C3130303430----53-45</cust>
                        </l>
                        <l key="AdHocParamDimensionOids" refId="1755" ln="0" eid="DimensionOid"/>
                        <be key="data" refId="1756" clsId="FilterNodeData">
                          <ref key="filterNode" refId="1753"/>
                          <s key="dim">VOC</s>
                          <i key="segmentLevel">0</i>
                          <ref key="segment" refId="424"/>
                          <be key="reportingFormula" refId="1757" clsId="ReportingFormula">
                            <b key="serverFormula">N</b>
                            <b key="formulaRule">N</b>
                            <s key="formula">{20}+{71}</s>
                          </be>
                          <b key="placeHolder">N</b>
                          <ref key="weight" refId="18"/>
                          <be key="textMatchingCondition" refId="17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72</cust>
                        <s key="cod"/>
                        <s key="desc"/>
                        <i key="index">69</i>
                        <l key="children" refId="1760" ln="0" eid="Framework.com.tagetik.trees.INode,framework"/>
                        <ref key="parent" refId="1262"/>
                      </be>
                      <be refId="1761" clsId="FilterNode">
                        <l key="dimensionOids" refId="1762" ln="1" eid="DimensionOid">
                          <cust clsId="DimensionOid">564F43-45-31303031302D303230-3033357C3130303530---53-45</cust>
                        </l>
                        <l key="AdHocParamDimensionOids" refId="1763" ln="0" eid="DimensionOid"/>
                        <be key="data" refId="1764" clsId="FilterNodeData">
                          <ref key="filterNode" refId="17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73</cust>
                        <s key="cod"/>
                        <s key="desc"/>
                        <i key="index">70</i>
                        <l key="children" refId="1767" ln="0" eid="Framework.com.tagetik.trees.INode,framework"/>
                        <ref key="parent" refId="1262"/>
                      </be>
                      <be refId="1768" clsId="FilterNode">
                        <l key="dimensionOids" refId="1769" ln="1" eid="DimensionOid">
                          <cust clsId="DimensionOid">564F43-45-31303032302D303230-3033357C3130303530---53-45</cust>
                        </l>
                        <l key="AdHocParamDimensionOids" refId="1770" ln="0" eid="DimensionOid"/>
                        <be key="data" refId="1771" clsId="FilterNodeData">
                          <ref key="filterNode" refId="17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74</cust>
                        <s key="cod"/>
                        <s key="desc"/>
                        <i key="index">71</i>
                        <l key="children" refId="1774" ln="0" eid="Framework.com.tagetik.trees.INode,framework"/>
                        <ref key="parent" refId="1262"/>
                      </be>
                      <be refId="1775" clsId="FilterNode">
                        <l key="dimensionOids" refId="1776" ln="1" eid="DimensionOid">
                          <cust clsId="DimensionOid">564F43-45-31303033302D303630-3033357C3130303530---53-45</cust>
                        </l>
                        <l key="AdHocParamDimensionOids" refId="1777" ln="0" eid="DimensionOid"/>
                        <be key="data" refId="1778" clsId="FilterNodeData">
                          <ref key="filterNode" refId="17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75</cust>
                        <s key="cod"/>
                        <s key="desc"/>
                        <i key="index">72</i>
                        <l key="children" refId="1781" ln="0" eid="Framework.com.tagetik.trees.INode,framework"/>
                        <ref key="parent" refId="1262"/>
                      </be>
                      <be refId="1782" clsId="FilterNode">
                        <l key="dimensionOids" refId="1783" ln="1" eid="DimensionOid">
                          <cust clsId="DimensionOid">564F43-45-31303034302D333830-3033357C3130303530---53-45</cust>
                        </l>
                        <l key="AdHocParamDimensionOids" refId="1784" ln="0" eid="DimensionOid"/>
                        <be key="data" refId="1785" clsId="FilterNodeData">
                          <ref key="filterNode" refId="17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76</cust>
                        <s key="cod"/>
                        <s key="desc"/>
                        <i key="index">73</i>
                        <l key="children" refId="1788" ln="0" eid="Framework.com.tagetik.trees.INode,framework"/>
                        <ref key="parent" refId="1262"/>
                      </be>
                      <be refId="1789" clsId="FilterNode">
                        <l key="dimensionOids" refId="1790" ln="1" eid="DimensionOid">
                          <cust clsId="DimensionOid">564F43-45-31303035302D343730-3033357C3130303530---53-45</cust>
                        </l>
                        <l key="AdHocParamDimensionOids" refId="1791" ln="0" eid="DimensionOid"/>
                        <be key="data" refId="1792" clsId="FilterNodeData">
                          <ref key="filterNode" refId="17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7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77</cust>
                        <s key="cod"/>
                        <s key="desc"/>
                        <i key="index">74</i>
                        <l key="children" refId="1795" ln="0" eid="Framework.com.tagetik.trees.INode,framework"/>
                        <ref key="parent" refId="1262"/>
                      </be>
                      <be refId="1796" clsId="FilterNode">
                        <l key="dimensionOids" refId="1797" ln="1" eid="DimensionOid">
                          <cust clsId="DimensionOid">564F43-45-31303535302D343730-3033357C3130303530---53-45</cust>
                        </l>
                        <l key="AdHocParamDimensionOids" refId="1798" ln="0" eid="DimensionOid"/>
                        <be key="data" refId="1799" clsId="FilterNodeData">
                          <ref key="filterNode" refId="179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0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78</cust>
                        <s key="cod"/>
                        <s key="desc"/>
                        <i key="index">75</i>
                        <l key="children" refId="1802" ln="0" eid="Framework.com.tagetik.trees.INode,framework"/>
                        <ref key="parent" refId="1262"/>
                      </be>
                      <be refId="1803" clsId="FilterNode">
                        <l key="dimensionOids" refId="1804" ln="1" eid="DimensionOid">
                          <cust clsId="DimensionOid">564F43-4E-3033357C3130303530----53-45</cust>
                        </l>
                        <l key="AdHocParamDimensionOids" refId="1805" ln="0" eid="DimensionOid"/>
                        <be key="data" refId="1806" clsId="FilterNodeData">
                          <ref key="filterNode" refId="1803"/>
                          <s key="dim">VOC</s>
                          <i key="segmentLevel">0</i>
                          <ref key="segment" refId="424"/>
                          <be key="reportingFormula" refId="1807" clsId="ReportingFormula">
                            <b key="serverFormula">N</b>
                            <b key="formulaRule">N</b>
                            <s key="formula">SUBTOTAL(9, {73}:{78})</s>
                          </be>
                          <b key="placeHolder">N</b>
                          <ref key="weight" refId="18"/>
                          <be key="textMatchingCondition" refId="180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0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79</cust>
                        <s key="cod"/>
                        <s key="desc"/>
                        <i key="index">76</i>
                        <l key="children" refId="1810" ln="0" eid="Framework.com.tagetik.trees.INode,framework"/>
                        <ref key="parent" refId="1262"/>
                      </be>
                      <be refId="1811" clsId="FilterNode">
                        <l key="dimensionOids" refId="1812" ln="1" eid="DimensionOid">
                          <cust clsId="DimensionOid">564F43-4E-3033357C3130303630----53-45</cust>
                        </l>
                        <l key="AdHocParamDimensionOids" refId="1813" ln="0" eid="DimensionOid"/>
                        <be key="data" refId="1814" clsId="FilterNodeData">
                          <ref key="filterNode" refId="1811"/>
                          <s key="dim">VOC</s>
                          <i key="segmentLevel">0</i>
                          <ref key="segment" refId="424"/>
                          <be key="reportingFormula" refId="1815" clsId="ReportingFormula">
                            <b key="serverFormula">N</b>
                            <b key="formulaRule">N</b>
                            <s key="formula">{72}+{79}</s>
                          </be>
                          <b key="placeHolder">N</b>
                          <ref key="weight" refId="18"/>
                          <be key="textMatchingCondition" refId="181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80</cust>
                        <s key="cod"/>
                        <s key="desc"/>
                        <i key="index">77</i>
                        <l key="children" refId="1818" ln="0" eid="Framework.com.tagetik.trees.INode,framework"/>
                        <ref key="parent" refId="1262"/>
                      </be>
                      <be refId="1819" clsId="FilterNode">
                        <l key="dimensionOids" refId="1820" ln="1" eid="DimensionOid">
                          <cust clsId="DimensionOid">564F43-45-31303031302D303330-3033357C3130303730---53-45</cust>
                        </l>
                        <l key="AdHocParamDimensionOids" refId="1821" ln="0" eid="DimensionOid"/>
                        <be key="data" refId="1822" clsId="FilterNodeData">
                          <ref key="filterNode" refId="181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81</cust>
                        <s key="cod"/>
                        <s key="desc"/>
                        <i key="index">78</i>
                        <l key="children" refId="1825" ln="0" eid="Framework.com.tagetik.trees.INode,framework"/>
                        <ref key="parent" refId="1262"/>
                      </be>
                      <be refId="1826" clsId="FilterNode">
                        <l key="dimensionOids" refId="1827" ln="1" eid="DimensionOid">
                          <cust clsId="DimensionOid">564F43-45-31303032302D303330-3033357C3130303730---53-45</cust>
                        </l>
                        <l key="AdHocParamDimensionOids" refId="1828" ln="0" eid="DimensionOid"/>
                        <be key="data" refId="1829" clsId="FilterNodeData">
                          <ref key="filterNode" refId="1826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30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82</cust>
                        <s key="cod"/>
                        <s key="desc"/>
                        <i key="index">79</i>
                        <l key="children" refId="1832" ln="0" eid="Framework.com.tagetik.trees.INode,framework"/>
                        <ref key="parent" refId="1262"/>
                      </be>
                      <be refId="1833" clsId="FilterNode">
                        <l key="dimensionOids" refId="1834" ln="1" eid="DimensionOid">
                          <cust clsId="DimensionOid">564F43-45-3130313330-3033357C3130303730---53-45</cust>
                        </l>
                        <l key="AdHocParamDimensionOids" refId="1835" ln="0" eid="DimensionOid"/>
                        <be key="data" refId="1836" clsId="FilterNodeData">
                          <ref key="filterNode" refId="1833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37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83</cust>
                        <s key="cod"/>
                        <s key="desc"/>
                        <i key="index">80</i>
                        <l key="children" refId="1839" ln="0" eid="Framework.com.tagetik.trees.INode,framework"/>
                        <ref key="parent" refId="1262"/>
                      </be>
                      <be refId="1840" clsId="FilterNode">
                        <l key="dimensionOids" refId="1841" ln="1" eid="DimensionOid">
                          <cust clsId="DimensionOid">564F43-45-31303133302D303630-3033357C3130303730---53-45</cust>
                        </l>
                        <l key="AdHocParamDimensionOids" refId="1842" ln="0" eid="DimensionOid"/>
                        <be key="data" refId="1843" clsId="FilterNodeData">
                          <ref key="filterNode" refId="1840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44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4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84</cust>
                        <s key="cod"/>
                        <s key="desc"/>
                        <i key="index">81</i>
                        <l key="children" refId="1846" ln="0" eid="Framework.com.tagetik.trees.INode,framework"/>
                        <ref key="parent" refId="1262"/>
                      </be>
                      <be refId="1847" clsId="FilterNode">
                        <l key="dimensionOids" refId="1848" ln="1" eid="DimensionOid">
                          <cust clsId="DimensionOid">564F43-45-3130313335-3033357C3130303730---53-45</cust>
                        </l>
                        <l key="AdHocParamDimensionOids" refId="1849" ln="0" eid="DimensionOid"/>
                        <be key="data" refId="1850" clsId="FilterNodeData">
                          <ref key="filterNode" refId="1847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5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5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85</cust>
                        <s key="cod"/>
                        <s key="desc"/>
                        <i key="index">82</i>
                        <l key="children" refId="1853" ln="0" eid="Framework.com.tagetik.trees.INode,framework"/>
                        <ref key="parent" refId="1262"/>
                      </be>
                      <be refId="1854" clsId="FilterNode">
                        <l key="dimensionOids" refId="1855" ln="1" eid="DimensionOid">
                          <cust clsId="DimensionOid">564F43-45-32303331302D303630-3033357C3130303730---53-45</cust>
                        </l>
                        <l key="AdHocParamDimensionOids" refId="1856" ln="0" eid="DimensionOid"/>
                        <be key="data" refId="1857" clsId="FilterNodeData">
                          <ref key="filterNode" refId="185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58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5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86</cust>
                        <s key="cod"/>
                        <s key="desc"/>
                        <i key="index">83</i>
                        <l key="children" refId="1860" ln="0" eid="Framework.com.tagetik.trees.INode,framework"/>
                        <ref key="parent" refId="1262"/>
                      </be>
                      <be refId="1861" clsId="FilterNode">
                        <l key="dimensionOids" refId="1862" ln="1" eid="DimensionOid">
                          <cust clsId="DimensionOid">564F43-45-32303334302D313030-3033357C3130303730---53-45</cust>
                        </l>
                        <l key="AdHocParamDimensionOids" refId="1863" ln="0" eid="DimensionOid"/>
                        <be key="data" refId="1864" clsId="FilterNodeData">
                          <ref key="filterNode" refId="1861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65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6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87</cust>
                        <s key="cod"/>
                        <s key="desc"/>
                        <i key="index">84</i>
                        <l key="children" refId="1867" ln="0" eid="Framework.com.tagetik.trees.INode,framework"/>
                        <ref key="parent" refId="1262"/>
                      </be>
                      <be refId="1868" clsId="FilterNode">
                        <l key="dimensionOids" refId="1869" ln="1" eid="DimensionOid">
                          <cust clsId="DimensionOid">564F43-45-3530343130-3033357C3130303730---53-45</cust>
                        </l>
                        <l key="AdHocParamDimensionOids" refId="1870" ln="0" eid="DimensionOid"/>
                        <be key="data" refId="1871" clsId="FilterNodeData">
                          <ref key="filterNode" refId="1868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7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7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88</cust>
                        <s key="cod"/>
                        <s key="desc"/>
                        <i key="index">85</i>
                        <l key="children" refId="1874" ln="0" eid="Framework.com.tagetik.trees.INode,framework"/>
                        <ref key="parent" refId="1262"/>
                      </be>
                      <be refId="1875" clsId="FilterNode">
                        <l key="dimensionOids" refId="1876" ln="1" eid="DimensionOid">
                          <cust clsId="DimensionOid">564F43-45-3530343131-3033357C3130303730---53-45</cust>
                        </l>
                        <l key="AdHocParamDimensionOids" refId="1877" ln="0" eid="DimensionOid"/>
                        <be key="data" refId="1878" clsId="FilterNodeData">
                          <ref key="filterNode" refId="1875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7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8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89</cust>
                        <s key="cod"/>
                        <s key="desc"/>
                        <i key="index">86</i>
                        <l key="children" refId="1881" ln="0" eid="Framework.com.tagetik.trees.INode,framework"/>
                        <ref key="parent" refId="1262"/>
                      </be>
                      <be refId="1882" clsId="FilterNode">
                        <l key="dimensionOids" refId="1883" ln="1" eid="DimensionOid">
                          <cust clsId="DimensionOid">564F43-45-3530343132-3033357C3130303730---53-45</cust>
                        </l>
                        <l key="AdHocParamDimensionOids" refId="1884" ln="0" eid="DimensionOid"/>
                        <be key="data" refId="1885" clsId="FilterNodeData">
                          <ref key="filterNode" refId="1882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86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8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90</cust>
                        <s key="cod"/>
                        <s key="desc"/>
                        <i key="index">87</i>
                        <l key="children" refId="1888" ln="0" eid="Framework.com.tagetik.trees.INode,framework"/>
                        <ref key="parent" refId="1262"/>
                      </be>
                      <be refId="1889" clsId="FilterNode">
                        <l key="dimensionOids" refId="1890" ln="1" eid="DimensionOid">
                          <cust clsId="DimensionOid">564F43-45-3530343232-3033357C3130303730---53-45</cust>
                        </l>
                        <l key="AdHocParamDimensionOids" refId="1891" ln="0" eid="DimensionOid"/>
                        <be key="data" refId="1892" clsId="FilterNodeData">
                          <ref key="filterNode" refId="1889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189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8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91</cust>
                        <s key="cod"/>
                        <s key="desc"/>
                        <i key="index">88</i>
                        <l key="children" refId="1895" ln="0" eid="Framework.com.tagetik.trees.INode,framework"/>
                        <ref key="parent" refId="1262"/>
                      </be>
                      <be refId="1896" clsId="FilterNode">
                        <l key="dimensionOids" refId="1897" ln="1" eid="DimensionOid">
                          <cust clsId="DimensionOid">564F43-4E-3033357C3130303730----53-45</cust>
                        </l>
                        <l key="AdHocParamDimensionOids" refId="1898" ln="0" eid="DimensionOid"/>
                        <be key="data" refId="1899" clsId="FilterNodeData">
                          <ref key="filterNode" refId="1896"/>
                          <s key="dim">VOC</s>
                          <i key="segmentLevel">0</i>
                          <ref key="segment" refId="424"/>
                          <be key="reportingFormula" refId="1900" clsId="ReportingFormula">
                            <b key="serverFormula">N</b>
                            <b key="formulaRule">N</b>
                            <s key="formula">SUBTOTAL(9, {81}:{91})</s>
                          </be>
                          <b key="placeHolder">N</b>
                          <ref key="weight" refId="18"/>
                          <be key="textMatchingCondition" refId="1901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9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92</cust>
                        <s key="cod"/>
                        <s key="desc"/>
                        <i key="index">89</i>
                        <l key="children" refId="1903" ln="0" eid="Framework.com.tagetik.trees.INode,framework"/>
                        <ref key="parent" refId="1262"/>
                      </be>
                      <be refId="1904" clsId="FilterNode">
                        <l key="dimensionOids" refId="1905" ln="1" eid="DimensionOid">
                          <cust clsId="DimensionOid">564F43-4E-3033357C3130303830----53-45</cust>
                        </l>
                        <l key="AdHocParamDimensionOids" refId="1906" ln="0" eid="DimensionOid"/>
                        <be key="data" refId="1907" clsId="FilterNodeData">
                          <ref key="filterNode" refId="1904"/>
                          <s key="dim">VOC</s>
                          <i key="segmentLevel">0</i>
                          <ref key="segment" refId="424"/>
                          <be key="reportingFormula" refId="1908" clsId="ReportingFormula">
                            <b key="serverFormula">N</b>
                            <b key="formulaRule">N</b>
                            <s key="formula">{9}+{80}+{92}</s>
                          </be>
                          <b key="placeHolder">N</b>
                          <ref key="weight" refId="18"/>
                          <be key="textMatchingCondition" refId="190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9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s key="generateElementId"/>
                          <b key="complementary">N</b>
                          <b key="breakLevelSubtotal">N</b>
                          <b key="alreadyDrilled">N</b>
                        </be>
                        <cust key="id" clsId="FilterOid">93</cust>
                        <s key="cod"/>
                        <s key="desc"/>
                        <i key="index">90</i>
                        <l key="children" refId="1911" ln="0" eid="Framework.com.tagetik.trees.INode,framework"/>
                        <ref key="parent" refId="1262"/>
                      </be>
                    </l>
                  </be>
                  <be key="columns" refId="1912" clsId="FilterNode">
                    <l key="dimensionOids" refId="1913" ln="0" eid="DimensionOid"/>
                    <l key="AdHocParamDimensionOids" refId="1914" ln="0" eid="DimensionOid"/>
                    <be key="data" refId="1915" clsId="FilterNodeData">
                      <be key="filterNode" refId="1916" clsId="FilterNode">
                        <l key="dimensionOids" refId="1917" ln="0" eid="DimensionOid"/>
                        <l key="AdHocParamDimensionOids" refId="1918" ln="0" eid="DimensionOid"/>
                        <be key="data" refId="1919" clsId="FilterNodeData">
                          <ref key="filterNode" refId="1916"/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desc">Columns</s>
                        <i key="index">0</i>
                        <l key="children" refId="1921" ln="12" eid="Framework.com.tagetik.trees.INode,framework">
                          <be refId="1922" clsId="FilterNode">
                            <l key="dimensionOids" refId="1923" ln="1" eid="DimensionOid">
                              <cust clsId="DimensionOid">504552-45-3031---</cust>
                            </l>
                            <l key="AdHocParamDimensionOids" refId="1924" ln="0" eid="DimensionOid"/>
                            <be key="data" refId="1925" clsId="FilterNodeData">
                              <ref key="filterNode" refId="1922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2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2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</cust>
                            <s key="cod"/>
                            <s key="desc"/>
                            <i key="index">0</i>
                            <l key="children" refId="1928" ln="0" eid="Framework.com.tagetik.trees.INode,framework"/>
                            <ref key="parent" refId="1916"/>
                          </be>
                          <be refId="1929" clsId="FilterNode">
                            <l key="dimensionOids" refId="1930" ln="1" eid="DimensionOid">
                              <cust clsId="DimensionOid">504552-45-3032---</cust>
                            </l>
                            <l key="AdHocParamDimensionOids" refId="1931" ln="0" eid="DimensionOid"/>
                            <be key="data" refId="1932" clsId="FilterNodeData">
                              <ref key="filterNode" refId="1929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3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3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4</cust>
                            <s key="cod"/>
                            <s key="desc"/>
                            <i key="index">1</i>
                            <l key="children" refId="1935" ln="0" eid="Framework.com.tagetik.trees.INode,framework"/>
                            <ref key="parent" refId="1916"/>
                          </be>
                          <be refId="1936" clsId="FilterNode">
                            <l key="dimensionOids" refId="1937" ln="1" eid="DimensionOid">
                              <cust clsId="DimensionOid">504552-45-3033---</cust>
                            </l>
                            <l key="AdHocParamDimensionOids" refId="1938" ln="0" eid="DimensionOid"/>
                            <be key="data" refId="1939" clsId="FilterNodeData">
                              <ref key="filterNode" refId="1936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40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41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6</cust>
                            <s key="cod"/>
                            <s key="desc"/>
                            <i key="index">2</i>
                            <l key="children" refId="1942" ln="0" eid="Framework.com.tagetik.trees.INode,framework"/>
                            <ref key="parent" refId="1916"/>
                          </be>
                          <be refId="1943" clsId="FilterNode">
                            <l key="dimensionOids" refId="1944" ln="1" eid="DimensionOid">
                              <cust clsId="DimensionOid">504552-45-3034---</cust>
                            </l>
                            <l key="AdHocParamDimensionOids" refId="1945" ln="0" eid="DimensionOid"/>
                            <be key="data" refId="1946" clsId="FilterNodeData">
                              <ref key="filterNode" refId="1943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47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48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8</cust>
                            <s key="cod"/>
                            <s key="desc"/>
                            <i key="index">3</i>
                            <l key="children" refId="1949" ln="0" eid="Framework.com.tagetik.trees.INode,framework"/>
                            <ref key="parent" refId="1916"/>
                          </be>
                          <be refId="1950" clsId="FilterNode">
                            <l key="dimensionOids" refId="1951" ln="1" eid="DimensionOid">
                              <cust clsId="DimensionOid">504552-45-3035---</cust>
                            </l>
                            <l key="AdHocParamDimensionOids" refId="1952" ln="0" eid="DimensionOid"/>
                            <be key="data" refId="1953" clsId="FilterNodeData">
                              <ref key="filterNode" refId="1950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5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55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10</cust>
                            <s key="cod"/>
                            <s key="desc"/>
                            <i key="index">4</i>
                            <l key="children" refId="1956" ln="0" eid="Framework.com.tagetik.trees.INode,framework"/>
                            <ref key="parent" refId="1916"/>
                          </be>
                          <be refId="1957" clsId="FilterNode">
                            <l key="dimensionOids" refId="1958" ln="1" eid="DimensionOid">
                              <cust clsId="DimensionOid">504552-45-3036---</cust>
                            </l>
                            <l key="AdHocParamDimensionOids" refId="1959" ln="0" eid="DimensionOid"/>
                            <be key="data" refId="1960" clsId="FilterNodeData">
                              <ref key="filterNode" refId="1957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6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62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5</i>
                            <l key="children" refId="1963" ln="0" eid="Framework.com.tagetik.trees.INode,framework"/>
                            <ref key="parent" refId="1916"/>
                          </be>
                          <be refId="1964" clsId="FilterNode">
                            <l key="dimensionOids" refId="1965" ln="1" eid="DimensionOid">
                              <cust clsId="DimensionOid">504552-45-3037---</cust>
                            </l>
                            <l key="AdHocParamDimensionOids" refId="1966" ln="0" eid="DimensionOid"/>
                            <be key="data" refId="1967" clsId="FilterNodeData">
                              <ref key="filterNode" refId="1964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68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69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14</cust>
                            <s key="cod"/>
                            <s key="desc"/>
                            <i key="index">6</i>
                            <l key="children" refId="1970" ln="0" eid="Framework.com.tagetik.trees.INode,framework"/>
                            <ref key="parent" refId="1916"/>
                          </be>
                          <be refId="1971" clsId="FilterNode">
                            <l key="dimensionOids" refId="1972" ln="1" eid="DimensionOid">
                              <cust clsId="DimensionOid">504552-45-3038---</cust>
                            </l>
                            <l key="AdHocParamDimensionOids" refId="1973" ln="0" eid="DimensionOid"/>
                            <be key="data" refId="1974" clsId="FilterNodeData">
                              <ref key="filterNode" refId="1971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75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7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16</cust>
                            <s key="cod"/>
                            <s key="desc"/>
                            <i key="index">7</i>
                            <l key="children" refId="1977" ln="0" eid="Framework.com.tagetik.trees.INode,framework"/>
                            <ref key="parent" refId="1916"/>
                          </be>
                          <be refId="1978" clsId="FilterNode">
                            <l key="dimensionOids" refId="1979" ln="1" eid="DimensionOid">
                              <cust clsId="DimensionOid">504552-45-3039---</cust>
                            </l>
                            <l key="AdHocParamDimensionOids" refId="1980" ln="0" eid="DimensionOid"/>
                            <be key="data" refId="1981" clsId="FilterNodeData">
                              <ref key="filterNode" refId="1978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82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83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18</cust>
                            <s key="cod"/>
                            <s key="desc"/>
                            <i key="index">8</i>
                            <l key="children" refId="1984" ln="0" eid="Framework.com.tagetik.trees.INode,framework"/>
                            <ref key="parent" refId="1916"/>
                          </be>
                          <be refId="1985" clsId="FilterNode">
                            <l key="dimensionOids" refId="1986" ln="1" eid="DimensionOid">
                              <cust clsId="DimensionOid">504552-45-3130---</cust>
                            </l>
                            <l key="AdHocParamDimensionOids" refId="1987" ln="0" eid="DimensionOid"/>
                            <be key="data" refId="1988" clsId="FilterNodeData">
                              <ref key="filterNode" refId="1985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8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9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20</cust>
                            <s key="cod"/>
                            <s key="desc"/>
                            <i key="index">9</i>
                            <l key="children" refId="1991" ln="0" eid="Framework.com.tagetik.trees.INode,framework"/>
                            <ref key="parent" refId="1916"/>
                          </be>
                          <be refId="1992" clsId="FilterNode">
                            <l key="dimensionOids" refId="1993" ln="1" eid="DimensionOid">
                              <cust clsId="DimensionOid">504552-45-3131---</cust>
                            </l>
                            <l key="AdHocParamDimensionOids" refId="1994" ln="0" eid="DimensionOid"/>
                            <be key="data" refId="1995" clsId="FilterNodeData">
                              <ref key="filterNode" refId="1992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199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99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22</cust>
                            <s key="cod"/>
                            <s key="desc"/>
                            <i key="index">10</i>
                            <l key="children" refId="1998" ln="0" eid="Framework.com.tagetik.trees.INode,framework"/>
                            <ref key="parent" refId="1916"/>
                          </be>
                          <be refId="1999" clsId="FilterNode">
                            <l key="dimensionOids" refId="2000" ln="1" eid="DimensionOid">
                              <cust clsId="DimensionOid">504552-45-3132---</cust>
                            </l>
                            <l key="AdHocParamDimensionOids" refId="2001" ln="0" eid="DimensionOid"/>
                            <be key="data" refId="2002" clsId="FilterNodeData">
                              <ref key="filterNode" refId="1999"/>
                              <s key="dim">PER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003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00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24</cust>
                            <s key="cod"/>
                            <s key="desc"/>
                            <i key="index">11</i>
                            <l key="children" refId="2005" ln="0" eid="Framework.com.tagetik.trees.INode,framework"/>
                            <ref key="parent" refId="1916"/>
                          </be>
                        </l>
                      </be>
                      <i key="segmentLevel">0</i>
                      <ref key="segment" refId="17"/>
                      <b key="placeHolder">N</b>
                      <ref key="weight" refId="18"/>
                      <be key="textMatchingCondition" refId="20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2007" ln="5" eid="Framework.com.tagetik.trees.INode,framework">
                      <be refId="2008" clsId="FilterNode">
                        <l key="dimensionOids" refId="2009" ln="1" eid="DimensionOid">
                          <cust clsId="DimensionOid">534345-45-5350424447--50-</cust>
                        </l>
                        <l key="AdHocParamDimensionOids" refId="2010" ln="0" eid="DimensionOid"/>
                        <be key="data" refId="2011" clsId="FilterNodeData">
                          <ref key="filterNode" refId="2008"/>
                          <s key="dim">SCE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01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1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s key="cod"/>
                        <s key="desc"/>
                        <i key="index">0</i>
                        <l key="children" refId="2014" ln="0" eid="Framework.com.tagetik.trees.INode,framework"/>
                        <ref key="parent" refId="1912"/>
                      </be>
                      <be refId="2015" clsId="FilterNode">
                        <l key="dimensionOids" refId="2016" ln="1" eid="DimensionOid">
                          <cust clsId="DimensionOid">534345-45-5350424447--50-</cust>
                        </l>
                        <l key="AdHocParamDimensionOids" refId="2017" ln="0" eid="DimensionOid"/>
                        <be key="data" refId="2018" clsId="FilterNodeData">
                          <ref key="filterNode" refId="201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20" ln="1" eid="ScenarioModifierValue"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s key="cod"/>
                        <s key="desc"/>
                        <i key="index">1</i>
                        <l key="children" refId="2021" ln="0" eid="Framework.com.tagetik.trees.INode,framework"/>
                        <ref key="parent" refId="1912"/>
                      </be>
                      <be refId="2022" clsId="FilterNode">
                        <l key="dimensionOids" refId="2023" ln="0" eid="DimensionOid"/>
                        <l key="AdHocParamDimensionOids" refId="2024" ln="0" eid="DimensionOid"/>
                        <be key="data" refId="2025" clsId="FilterNodeData">
                          <ref key="filterNode" refId="2022"/>
                          <s key="dim">SCE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20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2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2</i>
                        <l key="children" refId="2028" ln="0" eid="Framework.com.tagetik.trees.INode,framework"/>
                        <ref key="parent" refId="1912"/>
                      </be>
                      <be refId="2029" clsId="FilterNode">
                        <l key="dimensionOids" refId="2030" ln="0" eid="DimensionOid"/>
                        <l key="AdHocParamDimensionOids" refId="2031" ln="0" eid="DimensionOid"/>
                        <be key="data" refId="2032" clsId="FilterNodeData">
                          <ref key="filterNode" refId="2029"/>
                          <s key="dim">SCE</s>
                          <i key="segmentLevel">0</i>
                          <ref key="segment" refId="17"/>
                          <be key="reportingFormula" refId="2033" clsId="ReportingFormula">
                            <b key="serverFormula">N</b>
                            <b key="formulaRule">N</b>
                            <s key="formula">{2}-{3}</s>
                          </be>
                          <be key="dictionaryHeader" refId="2034" clsId="MultiDesc">
                            <a key="desc" refId="2035" ln="4" eid="SYS_STR">
                              <s>Variazione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0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3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s key="cod"/>
                        <s key="desc"/>
                        <i key="index">3</i>
                        <l key="children" refId="2038" ln="0" eid="Framework.com.tagetik.trees.INode,framework"/>
                        <ref key="parent" refId="1912"/>
                      </be>
                      <be refId="2039" clsId="FilterNode">
                        <l key="dimensionOids" refId="2040" ln="0" eid="DimensionOid"/>
                        <l key="AdHocParamDimensionOids" refId="2041" ln="0" eid="DimensionOid"/>
                        <be key="data" refId="2042" clsId="FilterNodeData">
                          <ref key="filterNode" refId="2039"/>
                          <s key="dim">SCE</s>
                          <i key="segmentLevel">0</i>
                          <ref key="segment" refId="17"/>
                          <be key="reportingFormula" refId="2043" clsId="ReportingFormula">
                            <b key="serverFormula">N</b>
                            <b key="formulaRule">S</b>
                            <s key="formula">if({3}=0, 0, ({2}-{3})/abs({3}))</s>
                          </be>
                          <be key="dictionaryHeader" refId="2044" clsId="MultiDesc">
                            <a key="desc" refId="2045" ln="4" eid="SYS_STR">
                              <s>%</s>
                              <s>%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0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4</i>
                        <l key="children" refId="2048" ln="0" eid="Framework.com.tagetik.trees.INode,framework"/>
                        <ref key="parent" refId="1912"/>
                      </be>
                    </l>
                  </be>
                  <be key="matrixFilters" refId="2049" clsId="FilterNode">
                    <l key="dimensionOids" refId="2050" ln="0" eid="DimensionOid"/>
                    <l key="AdHocParamDimensionOids" refId="2051" ln="0" eid="DimensionOid"/>
                    <be key="data" refId="2052" clsId="FilterNodeData">
                      <ref key="filterNode" refId="2049"/>
                      <i key="segmentLevel">0</i>
                      <ref key="segment" refId="17"/>
                      <b key="placeHolder">N</b>
                      <ref key="weight" refId="18"/>
                      <be key="textMatchingCondition" refId="205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2054" ln="1" eid="Framework.com.tagetik.trees.INode,framework">
                      <be refId="2055" clsId="FilterNode">
                        <l key="dimensionOids" refId="2056" ln="2" eid="DimensionOid">
                          <cust clsId="DimensionOid">544950-45-5449505F4F---</cust>
                          <cust clsId="DimensionOid">544950-45-5449505F4F---</cust>
                        </l>
                        <l key="AdHocParamDimensionOids" refId="2057" ln="0" eid="DimensionOid"/>
                        <be key="data" refId="2058" clsId="FilterNodeData">
                          <ref key="filterNode" refId="2055"/>
                          <s key="dim">TIP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059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06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0</i>
                        <l key="children" refId="2061" ln="1" eid="Framework.com.tagetik.trees.INode,framework">
                          <be refId="2062" clsId="FilterNode">
                            <l key="dimensionOids" refId="2063" ln="1" eid="DimensionOid">
                              <cust clsId="DimensionOid">434154-45-46505F464C---</cust>
                            </l>
                            <l key="AdHocParamDimensionOids" refId="2064" ln="0" eid="DimensionOid"/>
                            <be key="data" refId="2065" clsId="FilterNodeData">
                              <ref key="filterNode" refId="2062"/>
                              <s key="dim">CAT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066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06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0</i>
                            <l key="children" refId="2068" ln="1" eid="Framework.com.tagetik.trees.INode,framework">
                              <be refId="2069" clsId="FilterNode">
                                <l key="dimensionOids" refId="2070" ln="1" eid="DimensionOid">
                                  <cust clsId="DimensionOid">504552-45-3132---</cust>
                                </l>
                                <l key="AdHocParamDimensionOids" refId="2071" ln="0" eid="DimensionOid"/>
                                <be key="data" refId="2072" clsId="FilterNodeData">
                                  <ref key="filterNode" refId="206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07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16</cust>
                                <i key="index">0</i>
                                <ref key="parent" refId="2062"/>
                              </be>
                            </l>
                            <ref key="parent" refId="2055"/>
                          </be>
                        </l>
                        <ref key="parent" refId="2049"/>
                      </be>
                    </l>
                  </be>
                  <be key="rowHeaders" refId="2074" clsId="ReportingHeaders">
                    <m key="headers" refId="2075" keid="SYS_PR_I" veid="System.Collections.IList">
                      <key>
                        <i>-1</i>
                      </key>
                      <val>
                        <l refId="2076" ln="1">
                          <s>$Account.desc</s>
                        </l>
                      </val>
                    </m>
                    <m key="headersDims" refId="207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2078" clsId="ReportingHeaders">
                    <m key="headers" refId="2079" keid="SYS_PR_I" veid="System.Collections.IList">
                      <key>
                        <i>-1</i>
                      </key>
                      <val>
                        <l refId="2080" ln="1">
                          <s>$Scenario.desc</s>
                        </l>
                      </val>
                    </m>
                    <m key="headersDims" refId="2081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982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e key="tipoAllineamentoLordiIC" refId="2082" id="TipoAllineamentoLordiIC">N</e>
                  <set key="forcedDimensions" refId="2083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208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085" ln="0" eid="Reporting.com.tagetik.tables.IMatixCellLeafPositions,Reporting"/>
                  <m key="forcedEditModes" refId="2086" keid="Reporting.com.tagetik.tables.IMatixCellLeafPositions,Reporting" veid="SYS_STR"/>
                  <b key="UseTxlDeFormEditor">N</b>
                  <be key="TxDeFormsEditorDescriptor" refId="2087" clsId="TxDeFormsEditorDescriptor">
                    <l key="Tabs" refId="208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2089" keid="SYS_STR" veid="CodeCellField">
              <key>
                <s>CellField02</s>
              </key>
              <val>
                <be refId="2090" clsId="CodeCellField">
                  <s key="code">CellField02</s>
                  <s key="cellField">
                    CONCATENATE("Run by ",user.desc," on ",report.runDate)
                    <ch cod="0a"/>
                  </s>
                </be>
              </val>
            </m>
            <m key="dictionary" refId="2091" keid="SYS_STR" veid="CodeMultiDescVO"/>
            <m key="controlExpressions" refId="2092" keid="SYS_STR" veid="CodedExpControlloProspetto"/>
            <m key="inlineParameters" refId="2093" keid="SYS_STR" veid="CodedInlineParameter"/>
            <m key="queries" refId="2094" keid="SYS_STR" veid="Reporting.com.tagetik.query.IUserDefinedQueryVO,Reporting"/>
            <be key="sheets" refId="2095" clsId="FilterNode">
              <l key="dimensionOids" refId="2096" ln="0" eid="DimensionOid"/>
              <l key="AdHocParamDimensionOids" refId="2097" ln="0" eid="DimensionOid"/>
              <be key="data" refId="2098" clsId="FilterNodeData">
                <ref key="filterNode" refId="2095"/>
                <i key="segmentLevel">0</i>
                <ref key="segment" refId="424"/>
                <b key="placeHolder">N</b>
                <ref key="weight" refId="18"/>
                <be key="textMatchingCondition" refId="2099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2100" keid="SYS_STR" veid="ElaborationsLauncher"/>
            <m key="actionLists" refId="2101" keid="SYS_STR" veid="Reporting.com.tagetik.actionlist.ISnapshotActionList,Reporting"/>
            <l key="areas" refId="2102" ln="0" eid="SYS_STR"/>
            <l key="charts" refId="2103" ln="0" eid="SYS_STR"/>
            <l key="pivots" refId="2104" ln="0" eid="SYS_STR"/>
          </be>
        </val>
        <key>
          <s>Template04</s>
        </key>
        <val>
          <be refId="2105" clsId="ReportTemplateVO">
            <s key="code">Template04</s>
            <s key="desc">BS</s>
            <m key="matrices" refId="2106" keid="SYS_STR" veid="Reporting.com.tagetik.tables.IMatrixPositionBlockVO,Reporting">
              <key>
                <s>BALANCE SHEET</s>
              </key>
              <val>
                <be refId="2107" clsId="MatrixPositionBlockVO">
                  <s key="positionID">BALANCE SHEET</s>
                  <be key="rows" refId="2108" clsId="FilterNode">
                    <l key="dimensionOids" refId="2109" ln="0" eid="DimensionOid"/>
                    <l key="AdHocParamDimensionOids" refId="2110" ln="0" eid="DimensionOid"/>
                    <be key="data" refId="2111" clsId="FilterNodeData">
                      <ref key="filterNode" refId="2108"/>
                      <i key="segmentLevel">0</i>
                      <ref key="segment" refId="17"/>
                      <b key="placeHolder">N</b>
                      <ref key="weight" refId="18"/>
                      <be key="textMatchingCondition" refId="21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Rows</s>
                    <i key="index">0</i>
                    <l key="children" refId="2113" ln="1" eid="Framework.com.tagetik.trees.INode,framework">
                      <be refId="2114" clsId="FilterNode">
                        <l key="dimensionOids" refId="2115" ln="1" eid="DimensionOid">
                          <cust clsId="DimensionOid">564F43-4E-303235----53-53</cust>
                        </l>
                        <l key="AdHocParamDimensionOids" refId="2116" ln="0" eid="DimensionOid"/>
                        <be key="data" refId="2117" clsId="FilterNodeData">
                          <ref key="filterNode" refId="2114"/>
                          <s key="dim">VOC</s>
                          <i key="segmentLevel">0</i>
                          <ref key="segment" refId="424"/>
                          <b key="placeHolder">N</b>
                          <ref key="weight" refId="18"/>
                          <be key="dinamico" refId="2118" clsId="ReportingDinamicita">
                            <e key="dynamicType" refId="2119" id="DynamicEnum">AN</e>
                            <b key="withSubtotal">N</b>
                            <b key="isPartecipatedCompany">N</b>
                            <b key="withSubtotalUntilStartingNode">N</b>
                            <b key="detailSubtotal">S</b>
                            <e key="pruning" refId="2120" id="PruningEnum">N</e>
                            <be key="forbiddenChooserCodes" refId="2121" clsId="ForbiddenChooserCodesSet">
                              <set key="codes" refId="2122" ln="5" eid="SYS_STR">
                                <s>ACD2</s>
                                <s>ACD3</s>
                                <s>ACD1</s>
                                <s>FI</s>
                                <s>ACDCP2</s>
                              </set>
                            </be>
                            <i key="addictionalRowsToOpen">100</i>
                            <b key="allowOpenNewElements">N</b>
                          </be>
                          <be key="textMatchingCondition" refId="2123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e key="editability" refId="2124" id="EditableEnum">S</e>
                          <b key="signChange">N</b>
                          <b key="nativeSignChange">N</b>
                          <l key="nav" refId="2125" ln="0" eid="ScenarioModifierValue"/>
                          <i key="sco">0</i>
                          <b key="applyFiltersForForcedScenarioPeriodoMap">N</b>
                          <b key="lineSplit">N</b>
                          <s key="adHocStyleSheetId">9</s>
                          <be key="hyperlinkInfo" refId="2126" clsId="HyperlinkInfo">
                            <be key="actionList" refId="2127" clsId="ActionList">
                              <be key="rootStep" refId="2128" clsId="ActionNode">
                                <be key="parameters" refId="2129" clsId="ActionListParameters">
                                  <s key="cod">Hyperlink</s>
                                  <be key="desc" refId="2130" clsId="MultiDesc">
                                    <a key="desc" refId="2131" ln="4" eid="SYS_STR">
                                      <s>Hyperlink</s>
                                      <s>Hyperlink</s>
                                      <s>Hyperlink</s>
                                      <s>Hyperlink</s>
                                    </a>
                                  </be>
                                </be>
                                <s key="actionDescriptorCode">AL</s>
                                <cust key="id" clsId="FilterOid">1</cust>
                                <b key="leaf">N</b>
                                <s key="desc">Hyperlink - Hyperlink</s>
                                <i key="index">0</i>
                                <l key="children" refId="2132" ln="1" eid="Framework.com.tagetik.trees.INode,framework">
                                  <be refId="2133" clsId="ActionNode">
                                    <be key="parameters" refId="2134" clsId="OpenReportParameters">
                                      <l key="oidReports" refId="2135" ln="1" eid="Framework.com.tagetik.trees.Oid,framework">
                                        <cust clsId="DimensionOid">50524F53504554544F-45-453130305F313033-453131--</cust>
                                      </l>
                                      <ref key="openTargetMode" refId="1225"/>
                                      <b key="inheritProcessCode">S</b>
                                      <be key="parametersMapping" refId="2136" clsId="ParametersMapping">
                                        <m key="SystemParametersValues" refId="2137" keid="SYS_STR" veid="Reporting.com.tagetik.report.parametersValue.IParameterValue,Reporting">
                                          <key>
                                            <s>415A495F3032-45-24415A495F30325F50--50-</s>
                                          </key>
                                          <val>
                                            <be refId="2138" clsId="StringParameterValue">
                                              <ref key="ParamSetType" refId="1229"/>
                                              <s key="Value">${INHERIT}</s>
                                            </be>
                                          </val>
                                          <key>
                                            <s>534345-45-535053544154--50-</s>
                                          </key>
                                          <val>
                                            <be refId="2139" clsId="StringParameterValue">
                                              <ref key="ParamSetType" refId="1229"/>
                                              <s key="Value">${INHERIT}</s>
                                            </be>
                                          </val>
                                          <key>
                                            <s>504552-45-245045525F50--50-</s>
                                          </key>
                                          <val>
                                            <be refId="2140" clsId="StringParameterValue">
                                              <ref key="ParamSetType" refId="1229"/>
                                              <s key="Value">${INHERIT}</s>
                                            </be>
                                          </val>
                                          <key>
                                            <s>564F43-45-24564F435F50--50-</s>
                                          </key>
                                          <val>
                                            <be refId="2141" clsId="StringParameterValue">
                                              <e key="ParamSetType" refId="2142" id="ParamSetType">AUTO_CONTESTO</e>
                                              <s key="Value">${AUTO}</s>
                                            </be>
                                          </val>
                                        </m>
                                        <be key="ParametersUnion" refId="2143" clsId="ParametersUnion">
                                          <l key="SystemParameters" refId="2144" ln="4" eid="ProspParametro">
                                            <be refId="2145" clsId="ProspParametroDim">
                                              <s key="codDimensione">SCE</s>
                                              <a key="allowedOids" refId="2146" ln="0" eid="DimensionOid"/>
                                              <b key="allowsLeafs">S</b>
                                              <b key="allowsNodes">N</b>
                                              <b key="automatico">N</b>
                                              <ref key="tipoDinamicita" refId="1235"/>
                                              <s key="script">
                                                TGKML 1.0
                                                <ch cod="0a"/>
                                                result :=
                                              </s>
                                              <ref key="allowOr" refId="1243"/>
                                              <ref key="autoValorizzaSeOmesso" refId="1237"/>
                                              <cust key="oid" clsId="DimensionOid">534345-45-535053544154--50-</cust>
                                              <set key="oidValori" refId="2147" ln="2" eid="DimensionOid">
                                                <cust clsId="DimensionOid">534345-45-3230313453544154---</cust>
                                                <cust clsId="DimensionOid">534345-45-3230313353544154---</cust>
                                              </set>
                                              <b key="limParametro">N</b>
                                              <b key="limProcessoDisabilitata">N</b>
                                              <b key="sistema">N</b>
                                              <b key="netClient">S</b>
                                              <s key="descLunga0"/>
                                              <s key="descLunga1"/>
                                              <s key="descLunga3"/>
                                              <b key="allowsAuto">S</b>
                                              <b key="allowsCellField">S</b>
                                              <b key="allowsExplicit">S</b>
                                              <b key="allowsList">S</b>
                                              <b key="mandatory">N</b>
                                              <b key="isAdHocParameter">N</b>
                                              <b key="dependent">N</b>
                                              <s key="code">SPSTAT</s>
                                              <be key="multiDescVO" refId="2148" clsId="MultiDesc">
                                                <a key="desc" refId="2149" ln="4" eid="SYS_STR">
                                                  <s>Statutory Scenario</s>
                                                  <s>Statutory Scenario</s>
                                                  <nl/>
                                                  <s/>
                                                </a>
                                              </be>
                                            </be>
                                            <be refId="2150" clsId="ProspParametroDim">
                                              <s key="codDimensione">PER</s>
                                              <a key="allowedOids" refId="2151" ln="0" eid="DimensionOid"/>
                                              <b key="allowsLeafs">S</b>
                                              <b key="allowsNodes">N</b>
                                              <b key="automatico">S</b>
                                              <ref key="allowOr" refId="1236"/>
                                              <ref key="autoValorizzaSeOmesso" refId="1237"/>
                                              <cust key="oid" clsId="DimensionOid">504552-45-245045525F50--50-</cust>
                                              <set key="oidValori" refId="2152" ln="0" eid="DimensionOid"/>
                                              <b key="limParametro">N</b>
                                              <b key="limProcessoDisabilitata">N</b>
                                              <b key="sistema">S</b>
                                              <b key="netClient">S</b>
                                              <b key="allowsAuto">S</b>
                                              <b key="allowsCellField">S</b>
                                              <b key="allowsExplicit">S</b>
                                              <b key="allowsList">S</b>
                                              <b key="mandatory">S</b>
                                              <b key="isAdHocParameter">N</b>
                                              <b key="dependent">N</b>
                                              <s key="code">$PER_P</s>
                                              <be key="multiDescVO" refId="2153" clsId="MultiDesc">
                                                <a key="desc" refId="2154" ln="4" eid="SYS_STR">
                                                  <nl/>
                                                  <s>Period</s>
                                                  <nl/>
                                                  <nl/>
                                                </a>
                                              </be>
                                            </be>
                                            <be refId="2155" clsId="ProspParametroDim">
                                              <s key="codDimensione">VOC</s>
                                              <a key="allowedOids" refId="2156" ln="0" eid="DimensionOid"/>
                                              <b key="allowsLeafs">S</b>
                                              <b key="allowsNodes">S</b>
                                              <b key="automatico">S</b>
                                              <ref key="allowOr" refId="1236"/>
                                              <ref key="autoValorizzaSeOmesso" refId="1237"/>
                                              <cust key="oid" clsId="DimensionOid">564F43-45-24564F435F50--50-</cust>
                                              <set key="oidValori" refId="2157" ln="0" eid="DimensionOid"/>
                                              <b key="limParametro">N</b>
                                              <b key="limProcessoDisabilitata">N</b>
                                              <b key="sistema">S</b>
                                              <b key="netClient">S</b>
                                              <b key="allowsAuto">S</b>
                                              <b key="allowsCellField">S</b>
                                              <b key="allowsExplicit">S</b>
                                              <b key="allowsList">S</b>
                                              <b key="mandatory">S</b>
                                              <b key="isAdHocParameter">N</b>
                                              <b key="dependent">N</b>
                                              <s key="code">$VOC_P</s>
                                              <be key="multiDescVO" refId="2158" clsId="MultiDesc">
                                                <a key="desc" refId="2159" ln="4" eid="SYS_STR">
                                                  <nl/>
                                                  <s>Account</s>
                                                  <nl/>
                                                  <nl/>
                                                </a>
                                              </be>
                                            </be>
                                            <be refId="2160" clsId="ProspParametroDim">
                                              <s key="codDimensione">AZI</s>
                                              <a key="allowedOids" refId="2161" ln="0" eid="DimensionOid"/>
                                              <b key="allowsLeafs">S</b>
                                              <b key="allowsNodes">S</b>
                                              <b key="automatico">S</b>
                                              <s key="codGerarchia">02</s>
                                              <ref key="allowOr" refId="1236"/>
                                              <ref key="autoValorizzaSeOmesso" refId="1237"/>
                                              <cust key="oid" clsId="DimensionOid">415A495F3032-45-24415A495F30325F50--50-</cust>
                                              <set key="oidValori" refId="2162" ln="0" eid="DimensionOid"/>
                                              <b key="limParametro">N</b>
                                              <b key="limProcessoDisabilitata">N</b>
                                              <b key="sistema">S</b>
                                              <b key="netClient">S</b>
                                              <b key="allowsAuto">S</b>
                                              <b key="allowsCellField">S</b>
                                              <b key="allowsExplicit">S</b>
                                              <b key="allowsList">S</b>
                                              <b key="mandatory">N</b>
                                              <b key="isAdHocParameter">N</b>
                                              <b key="dependent">N</b>
                                              <s key="code">$AZI_02_P</s>
                                              <be key="multiDescVO" refId="2163" clsId="MultiDesc">
                                                <a key="desc" refId="2164" ln="4" eid="SYS_STR">
                                                  <nl/>
                                                  <s>Actual View: Total Group</s>
                                                  <nl/>
                                                  <nl/>
                                                </a>
                                              </be>
                                            </be>
                                          </l>
                                          <m key="SystemVisibilities" refId="2165" keid="SYS_STR" veid="ParameterValuesVisibilities">
                                            <key>
                                              <s>415A495F3032-45-24415A495F30325F50--50-</s>
                                            </key>
                                            <val>
                                              <be refId="2166" clsId="ParameterValuesVisibilities">
                                                <set key="showOids" refId="2167" ln="0" eid="DimensionOid"/>
                                                <b key="allValues">S</b>
                                              </be>
                                            </val>
                                            <key>
                                              <s>534345-45-535053544154--50-</s>
                                            </key>
                                            <val>
                                              <be refId="2168" clsId="ParameterValuesVisibilities">
                                                <set key="showOids" refId="2169" ln="0" eid="DimensionOid"/>
                                                <b key="allValues">S</b>
                                              </be>
                                            </val>
                                            <key>
                                              <s>504552-45-245045525F50--50-</s>
                                            </key>
                                            <val>
                                              <be refId="2170" clsId="ParameterValuesVisibilities">
                                                <set key="showOids" refId="2171" ln="0" eid="DimensionOid"/>
                                                <b key="allValues">S</b>
                                              </be>
                                            </val>
                                            <key>
                                              <s>564F43-45-24564F435F50--50-</s>
                                            </key>
                                            <val>
                                              <be refId="2172" clsId="ParameterValuesVisibilities">
                                                <set key="showOids" refId="2173" ln="0" eid="DimensionOid"/>
                                                <b key="allValues">S</b>
                                              </be>
                                            </val>
                                          </m>
                                          <l key="AreaNames" refId="2174" ln="0" eid="ProspParametro"/>
                                          <m key="AdHocParameters" refId="2175"/>
                                          <m key="AdHocVisibilities" refId="2176"/>
                                        </be>
                                      </be>
                                      <ref key="valuelessParamMode" refId="1255"/>
                                    </be>
                                    <s key="actionDescriptorCode">OPEN</s>
                                    <cust key="id" clsId="FilterOid">3</cust>
                                    <b key="leaf">N</b>
                                    <s key="desc">Open Reports (VAR_NET)</s>
                                    <i key="index">0</i>
                                    <ref key="parent" refId="2128"/>
                                  </be>
                                </l>
                              </be>
                            </be>
                            <e key="valueOrHeader" refId="2177" id="HyperlinkValueHeaderEnum">H</e>
                            <b key="prevailing">N</b>
                          </be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89</cust>
                        <s key="cod"/>
                        <s key="desc"/>
                        <i key="index">0</i>
                        <l key="children" refId="2178" ln="0" eid="Framework.com.tagetik.trees.INode,framework"/>
                        <ref key="parent" refId="2108"/>
                      </be>
                    </l>
                  </be>
                  <be key="columns" refId="2179" clsId="FilterNode">
                    <l key="dimensionOids" refId="2180" ln="0" eid="DimensionOid"/>
                    <l key="AdHocParamDimensionOids" refId="2181" ln="0" eid="DimensionOid"/>
                    <be key="data" refId="2182" clsId="FilterNodeData">
                      <ref key="filterNode" refId="2179"/>
                      <i key="segmentLevel">0</i>
                      <ref key="segment" refId="17"/>
                      <b key="placeHolder">N</b>
                      <ref key="weight" refId="18"/>
                      <be key="textMatchingCondition" refId="21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Columns</s>
                    <i key="index">0</i>
                    <l key="children" refId="2184" ln="3" eid="Framework.com.tagetik.trees.INode,framework">
                      <be refId="2185" clsId="FilterNode">
                        <l key="dimensionOids" refId="2186" ln="1" eid="DimensionOid">
                          <cust clsId="DimensionOid">534345-45-5350424447--50-</cust>
                        </l>
                        <l key="AdHocParamDimensionOids" refId="2187" ln="0" eid="DimensionOid"/>
                        <be key="data" refId="2188" clsId="FilterNodeData">
                          <ref key="filterNode" refId="218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190" ln="2" eid="ScenarioModifierValue">
                            <e refId="2191" id="ScenarioModifierValue">RIF1</e>
                            <ref refId="255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30</cust>
                        <i key="index">0</i>
                        <l key="children" refId="2192" ln="1" eid="Framework.com.tagetik.trees.INode,framework">
                          <be refId="2193" clsId="FilterNode">
                            <l key="dimensionOids" refId="2194" ln="1" eid="DimensionOid">
                              <cust clsId="DimensionOid">504552-45-3132---</cust>
                            </l>
                            <l key="AdHocParamDimensionOids" refId="2195" ln="0" eid="DimensionOid"/>
                            <be key="data" refId="2196" clsId="FilterNodeData">
                              <ref key="filterNode" refId="2193"/>
                              <s key="dim">PER</s>
                              <i key="segmentLevel">0</i>
                              <ref key="segment" refId="17"/>
                              <be key="dictionaryHeader" refId="2197" clsId="MultiDesc">
                                <a key="desc" refId="2198" ln="4" eid="SYS_STR">
                                  <s>CY</s>
                                  <s>CY</s>
                                  <s>CY</s>
                                  <nl/>
                                </a>
                              </be>
                              <b key="placeHolder">N</b>
                              <ref key="weight" refId="18"/>
                              <be key="textMatchingCondition" refId="219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32</cust>
                            <i key="index">0</i>
                            <ref key="parent" refId="2185"/>
                          </be>
                        </l>
                        <ref key="parent" refId="2179"/>
                      </be>
                      <be refId="2200" clsId="FilterNode">
                        <l key="dimensionOids" refId="2201" ln="1" eid="DimensionOid">
                          <cust clsId="DimensionOid">534345-45-5350424447--50-</cust>
                        </l>
                        <l key="AdHocParamDimensionOids" refId="2202" ln="0" eid="DimensionOid"/>
                        <be key="data" refId="2203" clsId="FilterNodeData">
                          <ref key="filterNode" refId="220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205" ln="3" eid="ScenarioModifierValue">
                            <ref refId="2191"/>
                            <ref refId="255"/>
                            <e refId="2206" id="ScenarioModifierValue">PREC</e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31</cust>
                        <i key="index">0</i>
                        <l key="children" refId="2207" ln="1" eid="Framework.com.tagetik.trees.INode,framework">
                          <be refId="2208" clsId="FilterNode">
                            <l key="dimensionOids" refId="2209" ln="1" eid="DimensionOid">
                              <cust clsId="DimensionOid">504552-45-3132---</cust>
                            </l>
                            <l key="AdHocParamDimensionOids" refId="2210" ln="0" eid="DimensionOid"/>
                            <be key="data" refId="2211" clsId="FilterNodeData">
                              <ref key="filterNode" refId="2208"/>
                              <s key="dim">PER</s>
                              <i key="segmentLevel">0</i>
                              <ref key="segment" refId="424"/>
                              <be key="dictionaryHeader" refId="2212" clsId="MultiDesc">
                                <a key="desc" refId="2213" ln="4" eid="SYS_STR">
                                  <s>PY</s>
                                  <s>PY</s>
                                  <nl/>
                                  <s/>
                                </a>
                              </be>
                              <b key="placeHolder">N</b>
                              <ref key="weight" refId="18"/>
                              <be key="textMatchingCondition" refId="2214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35</cust>
                            <i key="index">0</i>
                            <ref key="parent" refId="2200"/>
                          </be>
                        </l>
                        <ref key="parent" refId="2179"/>
                      </be>
                      <be refId="2215" clsId="FilterNode">
                        <l key="dimensionOids" refId="2216" ln="0" eid="DimensionOid"/>
                        <l key="AdHocParamDimensionOids" refId="2217" ln="0" eid="DimensionOid"/>
                        <be key="data" refId="2218" clsId="FilterNodeData">
                          <ref key="filterNode" refId="2215"/>
                          <s key="dim">SCE</s>
                          <i key="segmentLevel">0</i>
                          <ref key="segment" refId="17"/>
                          <be key="dictionaryHeader" refId="2219" clsId="MultiDesc">
                            <a key="desc" refId="2220" ln="4" eid="SYS_STR">
                              <s>Variance</s>
                              <s>$ Variance</s>
                              <nl/>
                              <s/>
                            </a>
                          </be>
                          <b key="placeHolder">S</b>
                          <ref key="weight" refId="18"/>
                          <be key="textMatchingCondition" refId="22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2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29</cust>
                        <s key="cod"/>
                        <s key="desc"/>
                        <i key="index">2</i>
                        <l key="children" refId="2223" ln="1" eid="Framework.com.tagetik.trees.INode,framework">
                          <be refId="2224" clsId="FilterNode">
                            <l key="dimensionOids" refId="2225" ln="0" eid="DimensionOid"/>
                            <l key="AdHocParamDimensionOids" refId="2226" ln="0" eid="DimensionOid"/>
                            <be key="data" refId="2227" clsId="FilterNodeData">
                              <ref key="filterNode" refId="2224"/>
                              <s key="dim">PER</s>
                              <i key="segmentLevel">0</i>
                              <ref key="segment" refId="424"/>
                              <be key="reportingFormula" refId="2228" clsId="ReportingFormula">
                                <b key="serverFormula">N</b>
                                <b key="formulaRule">N</b>
                                <s key="formula">{32}-{35}</s>
                              </be>
                              <be key="dictionaryHeader" refId="2229" clsId="MultiDesc">
                                <a key="desc" refId="2230" ln="4" eid="SYS_STR">
                                  <s>Variance</s>
                                  <s>$ Variance</s>
                                  <nl/>
                                  <s/>
                                </a>
                              </be>
                              <b key="placeHolder">S</b>
                              <ref key="weight" refId="18"/>
                              <be key="textMatchingCondition" refId="2231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34</cust>
                            <s key="cod">PH</s>
                            <s key="desc"/>
                            <i key="index">0</i>
                            <ref key="parent" refId="2215"/>
                          </be>
                        </l>
                        <ref key="parent" refId="2179"/>
                      </be>
                    </l>
                  </be>
                  <be key="matrixFilters" refId="2232" clsId="FilterNode">
                    <l key="dimensionOids" refId="2233" ln="0" eid="DimensionOid"/>
                    <l key="AdHocParamDimensionOids" refId="2234" ln="0" eid="DimensionOid"/>
                    <be key="data" refId="2235" clsId="FilterNodeData">
                      <ref key="filterNode" refId="2232"/>
                      <i key="segmentLevel">0</i>
                      <ref key="segment" refId="17"/>
                      <b key="placeHolder">N</b>
                      <ref key="weight" refId="18"/>
                      <be key="textMatchingCondition" refId="2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Matrix</s>
                    <i key="index">0</i>
                    <l key="children" refId="2237" ln="1" eid="Framework.com.tagetik.trees.INode,framework">
                      <be refId="2238" clsId="FilterNode">
                        <l key="dimensionOids" refId="2239" ln="1" eid="DimensionOid">
                          <cust clsId="DimensionOid">544950-45-5449505F4F---</cust>
                        </l>
                        <l key="AdHocParamDimensionOids" refId="2240" ln="0" eid="DimensionOid"/>
                        <be key="data" refId="2241" clsId="FilterNodeData">
                          <ref key="filterNode" refId="2238"/>
                          <s key="dim">TIP</s>
                          <i key="segmentLevel">0</i>
                          <ref key="segment" refId="424"/>
                          <b key="placeHolder">N</b>
                          <ref key="weight" refId="18"/>
                          <be key="textMatchingCondition" refId="2242" clsId="TextMatchingCondition">
                            <ref key="op" refId="20"/>
                            <s key="val"/>
                          </be>
                          <ref key="change" refId="426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2243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0</i>
                        <l key="children" refId="2244" ln="1" eid="Framework.com.tagetik.trees.INode,framework">
                          <be refId="2245" clsId="FilterNode">
                            <l key="dimensionOids" refId="2246" ln="1" eid="DimensionOid">
                              <cust clsId="DimensionOid">434154-45-24414D4F554E54---</cust>
                            </l>
                            <l key="AdHocParamDimensionOids" refId="2247" ln="0" eid="DimensionOid"/>
                            <be key="data" refId="2248" clsId="FilterNodeData">
                              <ref key="filterNode" refId="2245"/>
                              <s key="dim">CAT</s>
                              <i key="segmentLevel">0</i>
                              <ref key="segment" refId="424"/>
                              <b key="placeHolder">N</b>
                              <ref key="weight" refId="18"/>
                              <be key="textMatchingCondition" refId="2249" clsId="TextMatchingCondition">
                                <ref key="op" refId="20"/>
                                <s key="val"/>
                              </be>
                              <ref key="change" refId="426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2250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12</cust>
                            <s key="cod"/>
                            <s key="desc"/>
                            <i key="index">0</i>
                            <l key="children" refId="2251" ln="1" eid="Framework.com.tagetik.trees.INode,framework">
                              <be refId="2252" clsId="FilterNode">
                                <l key="dimensionOids" refId="2253" ln="1" eid="DimensionOid">
                                  <cust clsId="DimensionOid">4445535432-45-473031---</cust>
                                </l>
                                <l key="AdHocParamDimensionOids" refId="2254" ln="0" eid="DimensionOid"/>
                                <be key="data" refId="2255" clsId="FilterNodeData">
                                  <ref key="filterNode" refId="2252"/>
                                  <s key="dim">DEST2</s>
                                  <i key="segmentLevel">0</i>
                                  <ref key="segment" refId="424"/>
                                  <b key="placeHolder">N</b>
                                  <ref key="weight" refId="18"/>
                                  <be key="textMatchingCondition" refId="2256" clsId="TextMatchingCondition">
                                    <ref key="op" refId="20"/>
                                    <s key="val"/>
                                  </be>
                                  <ref key="change" refId="426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2257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21</cust>
                                <s key="cod"/>
                                <s key="desc"/>
                                <i key="index">0</i>
                                <l key="children" refId="2258" ln="1" eid="Framework.com.tagetik.trees.INode,framework">
                                  <be refId="2259" clsId="FilterNode">
                                    <l key="dimensionOids" refId="2260" ln="1" eid="DimensionOid">
                                      <cust clsId="DimensionOid">4445535431-45-473031---</cust>
                                    </l>
                                    <l key="AdHocParamDimensionOids" refId="2261" ln="0" eid="DimensionOid"/>
                                    <be key="data" refId="2262" clsId="FilterNodeData">
                                      <ref key="filterNode" refId="2259"/>
                                      <s key="dim">DEST1</s>
                                      <i key="segmentLevel">0</i>
                                      <ref key="segment" refId="424"/>
                                      <b key="placeHolder">N</b>
                                      <ref key="weight" refId="18"/>
                                      <be key="textMatchingCondition" refId="2263" clsId="TextMatchingCondition">
                                        <ref key="op" refId="20"/>
                                        <s key="val"/>
                                      </be>
                                      <ref key="change" refId="426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226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25</cust>
                                    <s key="cod"/>
                                    <s key="desc"/>
                                    <i key="index">0</i>
                                    <l key="children" refId="2265" ln="1" eid="Framework.com.tagetik.trees.INode,framework">
                                      <be refId="2266" clsId="FilterNode">
                                        <l key="dimensionOids" refId="2267" ln="1" eid="DimensionOid">
                                          <cust clsId="DimensionOid">44455354335F3130-45-473031---</cust>
                                        </l>
                                        <l key="AdHocParamDimensionOids" refId="2268" ln="0" eid="DimensionOid"/>
                                        <be key="data" refId="2269" clsId="FilterNodeData">
                                          <ref key="filterNode" refId="2266"/>
                                          <s key="dim">DEST3_10</s>
                                          <i key="segmentLevel">0</i>
                                          <ref key="segment" refId="424"/>
                                          <b key="placeHolder">N</b>
                                          <ref key="weight" refId="18"/>
                                          <be key="textMatchingCondition" refId="2270" clsId="TextMatchingCondition">
                                            <ref key="op" refId="20"/>
                                            <s key="val"/>
                                          </be>
                                          <ref key="change" refId="426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227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34</cust>
                                        <s key="cod"/>
                                        <s key="desc"/>
                                        <i key="index">0</i>
                                        <l key="children" refId="2272" ln="0" eid="Framework.com.tagetik.trees.INode,framework"/>
                                        <ref key="parent" refId="2259"/>
                                      </be>
                                    </l>
                                    <ref key="parent" refId="2252"/>
                                  </be>
                                </l>
                                <ref key="parent" refId="2245"/>
                              </be>
                            </l>
                            <ref key="parent" refId="2238"/>
                          </be>
                        </l>
                        <ref key="parent" refId="2232"/>
                      </be>
                    </l>
                  </be>
                  <be key="rowHeaders" refId="2273" clsId="ReportingHeaders">
                    <m key="headers" refId="2274" keid="SYS_PR_I" veid="System.Collections.IList">
                      <key>
                        <i>-2</i>
                      </key>
                      <val>
                        <l refId="2275" ln="1">
                          <s>$Account.code</s>
                        </l>
                      </val>
                      <key>
                        <i>-1</i>
                      </key>
                      <val>
                        <l refId="2276" ln="1">
                          <s>$Account(0).desc</s>
                        </l>
                      </val>
                    </m>
                    <m key="headersDims" refId="2277" keid="SYS_PR_I" veid="SYS_STR">
                      <key>
                        <i>-2</i>
                      </key>
                      <val>
                        <s>VOC</s>
                      </val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2278" clsId="ReportingHeaders">
                    <m key="headers" refId="2279" keid="SYS_PR_I" veid="System.Collections.IList">
                      <key>
                        <i>-1</i>
                      </key>
                      <val>
                        <l refId="2280" ln="1">
                          <s>
                            $Period.desc
                            <ch cod="0a"/>
                            <ch cod="0a"/>
                          </s>
                        </l>
                      </val>
                    </m>
                    <m key="headersDims" refId="2281" keid="SYS_PR_I" veid="SYS_STR">
                      <key>
                        <i>-1</i>
                      </key>
                      <val>
                        <s>PER</s>
                      </val>
                    </m>
                  </be>
                  <ref key="styleType" refId="982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382"/>
                  <i key="maxCols">0</i>
                  <ref key="colsExpansionMode" refId="382"/>
                  <ref key="columnsAutofitMode" refId="383"/>
                  <b key="useForcedBoundDims">N</b>
                  <ref key="disableHints" refId="384"/>
                  <ref key="tipoAllineamentoLordiIC" refId="2082"/>
                  <set key="forcedDimensions" refId="2282" ln="3" eid="SYS_STR">
                    <s>DEST2</s>
                    <s>DEST3</s>
                    <s>DEST1</s>
                  </set>
                  <b key="bindOriginalAmountOnSave">N</b>
                  <b key="showLink">N</b>
                  <i key="index">1</i>
                  <b key="excludeValuatingSheetsWithZeroValues">N</b>
                  <m key="addictionalStyleSheets" refId="2283" keid="SYS_STR" veid="StyleSheet">
                    <key>
                      <s>9</s>
                    </key>
                    <val>
                      <be refId="2284" clsId="StyleSheet">
                        <s key="cod">TGK-Style</s>
                        <e key="applyFirst" refId="2285" id="MultiplePosBlockType">ROWS</e>
                        <m key="rules" refId="2286" keid="SYS_STR" veid="System.Collections.IList">
                          <key>
                            <s>46524D4F424A-45-535542----524F5753-535542-56414C554553-30</s>
                          </key>
                          <val>
                            <l refId="2287" ln="1">
                              <be refId="2288" clsId="StyleRule">
                                <be key="ruleCondition" refId="2289" clsId="StyleRuleCondition">
                                  <b key="trailing">N</b>
                                  <b key="leading">N</b>
                                </be>
                                <s key="codStile">Total</s>
                              </be>
                            </l>
                          </val>
                          <key>
                            <s>46524D4F424A-45-535542----524F5753-535542-48454144455253-234E2F41</s>
                          </key>
                          <val>
                            <l refId="2290" ln="1">
                              <be refId="2291" clsId="StyleRule">
                                <be key="ruleCondition" refId="2292" clsId="StyleRuleCondition">
                                  <b key="trailing">N</b>
                                  <b key="leading">N</b>
                                </be>
                                <s key="codStile">Subtotal</s>
                              </be>
                            </l>
                          </val>
                        </m>
                        <d key="dateUpd">1324301077160</d>
                        <ref key="tipoClient" refId="991"/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293" ln="0" eid="Reporting.com.tagetik.tables.IMatixCellLeafPositions,Reporting"/>
                  <m key="forcedEditModes" refId="2294" keid="Reporting.com.tagetik.tables.IMatixCellLeafPositions,Reporting" veid="SYS_STR"/>
                  <b key="UseTxlDeFormEditor">N</b>
                  <be key="TxDeFormsEditorDescriptor" refId="2295" clsId="TxDeFormsEditorDescriptor">
                    <l key="Tabs" refId="229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2297" keid="SYS_STR" veid="CodeCellField">
              <key>
                <s>CellField03</s>
              </key>
              <val>
                <be refId="2298" clsId="CodeCellField">
                  <s key="code">CellField03</s>
                  <s key="cellField">CONCATENATE("Run by ",user.desc," on ",report.runDate)</s>
                </be>
              </val>
            </m>
            <m key="dictionary" refId="2299" keid="SYS_STR" veid="CodeMultiDescVO"/>
            <m key="controlExpressions" refId="2300" keid="SYS_STR" veid="CodedExpControlloProspetto"/>
            <m key="inlineParameters" refId="2301" keid="SYS_STR" veid="CodedInlineParameter"/>
            <m key="queries" refId="2302" keid="SYS_STR" veid="Reporting.com.tagetik.query.IUserDefinedQueryVO,Reporting">
              <key>
                <s>Query00</s>
              </key>
              <val>
                <be refId="2303" clsId="UserDefinedQueryVO">
                  <s key="queryString">
                    <ch cod="0a"/>
                    SELECT A.GL_Account, A.Description,a.Amount from(
                    <ch cod="0a"/>
                    <ch cod="0a"/>
                    select campo5 GL_Account,campo12 description,convert(numeric(20,2),replace(campo9,',','.'))AS Amount 
                    <ch cod="0a"/>
                    FROM map_dati_trasformati
                    <ch cod="0a"/>
                    where cod_mappatura='020' and cod_import='01'
                    <ch cod="0a"/>
                    and campo1=${$Scenario.code}
                    <ch cod="0a"/>
                    and campo2= ${$Period.code}
                    <ch cod="0a"/>
                    and campo5=${$Account.code}
                    <ch cod="0a"/>
                    and campo3=${$Entity.code})A
                    <ch cod="0a"/>
                    <ch cod="0a"/>
                    union all
                    <ch cod="0a"/>
                    select 'Total','',SUM(A.AMOUNT)
                    <ch cod="0a"/>
                    <ch cod="0a"/>
                    FROM (
                    <ch cod="0a"/>
                    <ch cod="0a"/>
                    select campo5 GL_Account,campo12 Description,convert(numeric(20,2),replace(campo9,',','.'))AS Amount 
                    <ch cod="0a"/>
                    FROM map_dati_trasformati
                    <ch cod="0a"/>
                    where cod_mappatura='020' and cod_import='01'
                    <ch cod="0a"/>
                    and campo1=${$Scenario.code}
                    <ch cod="0a"/>
                    and campo2= ${$Period.code}
                    <ch cod="0a"/>
                    and campo5=${$Account.code}
                    <ch cod="0a"/>
                    and campo3=${$Entity.code})A
                    <ch cod="0a"/>
                    <ch cod="0a"/>
                    <ch cod="0a"/>
                    <ch cod="0a"/>
                  </s>
                  <s key="queryType">S</s>
                  <e key="querySyntax" refId="2304" id="UserDefinedQuerySyntax">SQL</e>
                  <m key="options" refId="2305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S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N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Query00</s>
                  <be key="multiDescVO" refId="2306" clsId="MultiDesc">
                    <a key="desc" refId="2307" ln="4" eid="SYS_STR">
                      <s>Accounting Data</s>
                      <s>Transactional Data</s>
                      <s/>
                      <nl/>
                    </a>
                  </be>
                  <be key="initialResult" refId="2308" clsId="QueryResult">
                    <rs key="recordset" refId="2309" rowCount="0" fieldNames="GL_ACCOUNT,DESCRIPTION,AMOUNT">
                      <field name="GL_ACCOUNT"/>
                      <field name="DESCRIPTION"/>
                      <field name="AMOUNT"/>
                    </rs>
                    <a key="columnTypes" refId="2310" ln="3" eid="SYS_PR_I">
                      <i>12</i>
                      <i>12</i>
                      <i>2</i>
                    </a>
                    <i key="rowsCount">0</i>
                    <a key="columnNames" refId="2311" ln="3" eid="SYS_STR">
                      <s>GL_ACCOUNT</s>
                      <s>DESCRIPTION</s>
                      <s>AMOUNT</s>
                    </a>
                  </be>
                  <b key="hasExcelReferences">N</b>
                  <m key="ColumnDescriptors" refId="2312" keid="SYS_STR" veid="QueryColumnDescriptor">
                    <key>
                      <s>GL_ACCOUNT</s>
                    </key>
                    <val>
                      <be refId="2313" clsId="QueryColumnDescriptor">
                        <s key="code">GL_ACCOUNT</s>
                        <be key="multiDescVO" refId="2314" clsId="MultiDesc">
                          <a key="desc" refId="231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DESCRIPTION</s>
                    </key>
                    <val>
                      <be refId="2316" clsId="QueryColumnDescriptor">
                        <s key="code">DESCRIPTION</s>
                        <be key="multiDescVO" refId="2317" clsId="MultiDesc">
                          <a key="desc" refId="231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AMOUNT</s>
                    </key>
                    <val>
                      <be refId="2319" clsId="QueryColumnDescriptor">
                        <s key="code">AMOUNT</s>
                        <be key="multiDescVO" refId="2320" clsId="MultiDesc">
                          <a key="desc" refId="2321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</m>
            <be key="sheets" refId="2322" clsId="FilterNode">
              <l key="dimensionOids" refId="2323" ln="0" eid="DimensionOid"/>
              <l key="AdHocParamDimensionOids" refId="2324" ln="0" eid="DimensionOid"/>
              <be key="data" refId="2325" clsId="FilterNodeData">
                <ref key="filterNode" refId="2322"/>
                <i key="segmentLevel">0</i>
                <ref key="segment" refId="424"/>
                <b key="placeHolder">N</b>
                <ref key="weight" refId="18"/>
                <be key="textMatchingCondition" refId="2326" clsId="TextMatchingCondition">
                  <ref key="op" refId="20"/>
                  <s key="val"/>
                </be>
                <ref key="change" refId="426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</be>
            <m key="launchers" refId="2327" keid="SYS_STR" veid="ElaborationsLauncher"/>
            <m key="actionLists" refId="2328" keid="SYS_STR" veid="Reporting.com.tagetik.actionlist.ISnapshotActionList,Reporting"/>
            <l key="areas" refId="2329" ln="1" eid="SYS_STR">
              <s>_FilterDatabase</s>
            </l>
            <l key="charts" refId="2330" ln="0" eid="SYS_STR"/>
            <l key="pivots" refId="2331" ln="0" eid="SYS_STR"/>
          </be>
        </val>
      </m>
      <m key="templateLayouts" refId="2332" keid="SYS_STR" veid="Reporting.com.tagetik.report.IReportTemplateLayoutVO,Reporting">
        <key>
          <s>Template03</s>
        </key>
        <val>
          <be refId="2333" clsId="ReportTemplateLayoutVO">
            <i key="index">3</i>
            <s key="code">Template03</s>
            <m key="cellFieldAddresses" refId="2334" keid="SYS_STR" veid="Reporting.com.tagetik.spreadsheet.gridwrappers.IGridReaderVO,Reporting">
              <key>
                <s>CellField00</s>
              </key>
              <val>
                <be refId="2335" clsId="ExcelCompactGridReaderVO">
                  <be key="element" refId="2336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B33</s>
                </be>
              </val>
            </m>
            <m key="controlExpressionsAddresses" refId="2337" keid="SYS_STR" veid="Reporting.com.tagetik.spreadsheet.gridwrappers.IGridReaderVO,Reporting"/>
            <m key="inlineParameterAddresses" refId="2338" keid="SYS_STR" veid="Reporting.com.tagetik.spreadsheet.gridwrappers.IGridReaderVO,Reporting"/>
            <m key="dictionaryAddresses" refId="2339" keid="SYS_STR" veid="Reporting.com.tagetik.spreadsheet.gridwrappers.IGridReaderVO,Reporting"/>
            <m key="hyperlinkAddresses" refId="2340" keid="SYS_STR" veid="Reporting.com.tagetik.spreadsheet.gridwrappers.IGridReaderVO,Reporting"/>
            <m key="matrixGridReaders" refId="2341" keid="SYS_STR" veid="Reporting.com.tagetik.spreadsheet.gridwrappers.IGridReaderVO,Reporting">
              <key>
                <s>Comp. Analysis by Quarter</s>
              </key>
              <val>
                <be refId="2342" clsId="ExcelCompactGridReaderVO">
                  <be key="element" refId="2343" clsId="BasicLogicalElement">
                    <i key="columnHeadersCount">2</i>
                    <i key="rowHeadersCount">2</i>
                    <i key="valueColumns">17</i>
                    <i key="valueRows">25</i>
                  </be>
                  <s key="firstCell">B5</s>
                </be>
              </val>
            </m>
            <m key="queryGridReaders" refId="2344" keid="SYS_STR" veid="Reporting.com.tagetik.spreadsheet.gridwrappers.IGridReaderVO,Reporting"/>
          </be>
        </val>
        <key>
          <s>Template00</s>
        </key>
        <val>
          <be refId="2345" clsId="ReportTemplateLayoutVO">
            <i key="index">0</i>
            <s key="code">Template00</s>
            <m key="cellFieldAddresses" refId="2346" keid="SYS_STR" veid="Reporting.com.tagetik.spreadsheet.gridwrappers.IGridReaderVO,Reporting">
              <key>
                <s>CellField03</s>
              </key>
              <val>
                <be refId="2347" clsId="ExcelCompactGridReaderVO">
                  <be key="element" refId="234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B69</s>
                </be>
              </val>
            </m>
            <m key="controlExpressionsAddresses" refId="2349" keid="SYS_STR" veid="Reporting.com.tagetik.spreadsheet.gridwrappers.IGridReaderVO,Reporting"/>
            <m key="inlineParameterAddresses" refId="2350" keid="SYS_STR" veid="Reporting.com.tagetik.spreadsheet.gridwrappers.IGridReaderVO,Reporting">
              <key>
                <s>InlineParameter01</s>
              </key>
              <val>
                <be refId="2351" clsId="ExcelCompactGridReaderVO">
                  <be key="element" refId="2352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B3</s>
                </be>
              </val>
              <key>
                <s>InlineParameter00</s>
              </key>
              <val>
                <be refId="2353" clsId="ExcelCompactGridReaderVO">
                  <be key="element" refId="2354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B2</s>
                </be>
              </val>
            </m>
            <m key="dictionaryAddresses" refId="2355" keid="SYS_STR" veid="Reporting.com.tagetik.spreadsheet.gridwrappers.IGridReaderVO,Reporting"/>
            <m key="hyperlinkAddresses" refId="2356" keid="SYS_STR" veid="Reporting.com.tagetik.spreadsheet.gridwrappers.IGridReaderVO,Reporting">
              <key>
                <s>Hyperlink00</s>
              </key>
              <val>
                <be refId="2357" clsId="ExcelCompactGridReaderVO">
                  <be key="element" refId="235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H1</s>
                </be>
              </val>
            </m>
            <m key="matrixGridReaders" refId="2359" keid="SYS_STR" veid="Reporting.com.tagetik.spreadsheet.gridwrappers.IGridReaderVO,Reporting">
              <key>
                <s>BDG/ACT VARIATION</s>
              </key>
              <val>
                <be refId="2360" clsId="ExcelCompactGridReaderVO">
                  <be key="element" refId="2361" clsId="BasicLogicalElement">
                    <i key="columnHeadersCount">1</i>
                    <i key="rowHeadersCount">1</i>
                    <i key="valueColumns">5</i>
                    <i key="valueRows">28</i>
                  </be>
                  <s key="firstCell">B6</s>
                </be>
              </val>
              <key>
                <s>Matrix00</s>
              </key>
              <val>
                <be refId="2362" clsId="ExcelCompactGridReaderVO">
                  <be key="element" refId="2363" clsId="BasicLogicalElement">
                    <i key="columnHeadersCount">1</i>
                    <i key="rowHeadersCount">2</i>
                    <i key="valueColumns">12</i>
                    <i key="valueRows">9</i>
                  </be>
                  <s key="firstCell">AA7</s>
                </be>
              </val>
            </m>
            <m key="queryGridReaders" refId="2364" keid="SYS_STR" veid="Reporting.com.tagetik.spreadsheet.gridwrappers.IGridReaderVO,Reporting"/>
          </be>
        </val>
        <key>
          <s>Template01</s>
        </key>
        <val>
          <be refId="2365" clsId="ReportTemplateLayoutVO">
            <i key="index">2</i>
            <s key="code">Template01</s>
            <m key="cellFieldAddresses" refId="2366" keid="SYS_STR" veid="Reporting.com.tagetik.spreadsheet.gridwrappers.IGridReaderVO,Reporting">
              <key>
                <s>CellField02</s>
              </key>
              <val>
                <be refId="2367" clsId="ExcelCompactGridReaderVO">
                  <be key="element" refId="2368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N100</s>
                </be>
              </val>
            </m>
            <m key="controlExpressionsAddresses" refId="2369" keid="SYS_STR" veid="Reporting.com.tagetik.spreadsheet.gridwrappers.IGridReaderVO,Reporting"/>
            <m key="inlineParameterAddresses" refId="2370" keid="SYS_STR" veid="Reporting.com.tagetik.spreadsheet.gridwrappers.IGridReaderVO,Reporting"/>
            <m key="dictionaryAddresses" refId="2371" keid="SYS_STR" veid="Reporting.com.tagetik.spreadsheet.gridwrappers.IGridReaderVO,Reporting"/>
            <m key="hyperlinkAddresses" refId="2372" keid="SYS_STR" veid="Reporting.com.tagetik.spreadsheet.gridwrappers.IGridReaderVO,Reporting"/>
            <m key="matrixGridReaders" refId="2373" keid="SYS_STR" veid="Reporting.com.tagetik.spreadsheet.gridwrappers.IGridReaderVO,Reporting">
              <key>
                <s>CASH FLOW</s>
              </key>
              <val>
                <be refId="2374" clsId="ExcelCompactGridReaderVO">
                  <be key="element" refId="2375" clsId="BasicLogicalElement">
                    <i key="columnHeadersCount">1</i>
                    <i key="rowHeadersCount">1</i>
                    <i key="valueColumns">5</i>
                    <i key="valueRows">90</i>
                  </be>
                  <s key="firstCell">B7</s>
                </be>
              </val>
            </m>
            <m key="queryGridReaders" refId="2376" keid="SYS_STR" veid="Reporting.com.tagetik.spreadsheet.gridwrappers.IGridReaderVO,Reporting"/>
          </be>
        </val>
        <key>
          <s>Template04</s>
        </key>
        <val>
          <be refId="2377" clsId="ReportTemplateLayoutVO">
            <i key="index">1</i>
            <s key="code">Template04</s>
            <m key="cellFieldAddresses" refId="2378" keid="SYS_STR" veid="Reporting.com.tagetik.spreadsheet.gridwrappers.IGridReaderVO,Reporting">
              <key>
                <s>CellField03</s>
              </key>
              <val>
                <be refId="2379" clsId="ExcelCompactGridReaderVO">
                  <be key="element" refId="2380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C8</s>
                </be>
              </val>
            </m>
            <m key="controlExpressionsAddresses" refId="2381" keid="SYS_STR" veid="Reporting.com.tagetik.spreadsheet.gridwrappers.IGridReaderVO,Reporting"/>
            <m key="inlineParameterAddresses" refId="2382" keid="SYS_STR" veid="Reporting.com.tagetik.spreadsheet.gridwrappers.IGridReaderVO,Reporting"/>
            <m key="dictionaryAddresses" refId="2383" keid="SYS_STR" veid="Reporting.com.tagetik.spreadsheet.gridwrappers.IGridReaderVO,Reporting"/>
            <m key="hyperlinkAddresses" refId="2384" keid="SYS_STR" veid="Reporting.com.tagetik.spreadsheet.gridwrappers.IGridReaderVO,Reporting"/>
            <m key="matrixGridReaders" refId="2385" keid="SYS_STR" veid="Reporting.com.tagetik.spreadsheet.gridwrappers.IGridReaderVO,Reporting">
              <key>
                <s>BALANCE SHEET</s>
              </key>
              <val>
                <be refId="2386" clsId="ExcelCompactGridReaderVO">
                  <be key="element" refId="2387" clsId="BasicLogicalElement">
                    <i key="columnHeadersCount">1</i>
                    <i key="rowHeadersCount">2</i>
                    <i key="valueColumns">3</i>
                    <i key="valueRows">1</i>
                  </be>
                  <s key="firstCell">B4</s>
                </be>
              </val>
            </m>
            <m key="queryGridReaders" refId="2388" keid="SYS_STR" veid="Reporting.com.tagetik.spreadsheet.gridwrappers.IGridReaderVO,Reporting">
              <key>
                <s>Query00</s>
              </key>
              <val>
                <be refId="2389" clsId="ExcelCompactGridReaderVO">
                  <be key="element" refId="2390" clsId="BasicLogicalElement">
                    <i key="columnHeadersCount">2</i>
                    <i key="rowHeadersCount">0</i>
                    <i key="valueColumns">3</i>
                    <i key="valueRows">1</i>
                  </be>
                  <s key="firstCell">H4</s>
                </be>
              </val>
            </m>
          </be>
        </val>
      </m>
      <m key="adHocParameters" refId="2391" keid="SYS_STR" veid="ProspParametro"/>
      <l key="parametersToBeRequested" refId="2392" ln="2" eid="ParameterInfo">
        <be refId="2393" clsId="ParameterInfo">
          <cust key="oid" clsId="DimensionOid">534345-45-5350424447--50-</cust>
          <b key="explicitlyUsed">S</b>
          <b key="forced">N</b>
          <b key="advanced">N</b>
        </be>
        <be refId="2394" clsId="ParameterInfo">
          <cust key="oid" clsId="DimensionOid">415A495F3130-45-524547494F4E414C5F56494557--50-</cust>
          <b key="explicitlyUsed">S</b>
          <b key="forced">N</b>
          <b key="advanced">N</b>
        </be>
      </l>
      <be key="reportFilters" refId="2395" clsId="FilterNode">
        <l key="dimensionOids" refId="2396" ln="0" eid="DimensionOid"/>
        <l key="AdHocParamDimensionOids" refId="2397" ln="0" eid="DimensionOid"/>
        <be key="data" refId="2398" clsId="FilterNodeData">
          <ref key="filterNode" refId="2395"/>
          <i key="segmentLevel">0</i>
          <ref key="segment" refId="424"/>
          <b key="placeHolder">N</b>
          <ref key="weight" refId="18"/>
          <be key="textMatchingCondition" refId="2399" clsId="TextMatchingCondition">
            <ref key="op" refId="20"/>
            <s key="val"/>
          </be>
          <ref key="change" refId="426"/>
          <ref key="dataType" refId="22"/>
          <b key="prevailingDataType">N</b>
          <ref key="editability" refId="23"/>
          <b key="signChange">N</b>
          <b key="nativeSignChange">N</b>
          <i key="sco">0</i>
          <b key="applyFiltersForForcedScenarioPeriodoMap">N</b>
          <b key="lineSplit">N</b>
          <b key="addRCRow">N</b>
          <b key="complementary">N</b>
          <b key="breakLevelSubtotal">N</b>
          <b key="alreadyDrilled">N</b>
        </be>
        <cust key="id" clsId="FilterOid">1</cust>
        <s key="cod">ROOT</s>
        <s key="desc">Report filters root</s>
        <i key="index">0</i>
        <l key="children" refId="2400" ln="1" eid="Framework.com.tagetik.trees.INode,framework">
          <be refId="2401" clsId="FilterNode">
            <l key="dimensionOids" refId="2402" ln="1" eid="DimensionOid">
              <cust clsId="DimensionOid">544950-45-5449505F4F---</cust>
            </l>
            <l key="AdHocParamDimensionOids" refId="2403" ln="0" eid="DimensionOid"/>
            <be key="data" refId="2404" clsId="FilterNodeData">
              <ref key="filterNode" refId="2401"/>
              <s key="dim">TIP</s>
              <i key="segmentLevel">0</i>
              <ref key="segment" refId="17"/>
              <b key="placeHolder">N</b>
              <ref key="weight" refId="18"/>
              <be key="textMatchingCondition" refId="2405" clsId="TextMatchingCondition">
                <ref key="op" refId="20"/>
                <s key="val"/>
              </be>
              <ref key="change" refId="21"/>
              <ref key="dataType" refId="22"/>
              <b key="prevailingDataType">N</b>
              <ref key="editability" refId="23"/>
              <b key="signChange">N</b>
              <b key="nativeSignChange">N</b>
              <i key="sco">0</i>
              <b key="applyFiltersForForcedScenarioPeriodoMap">N</b>
              <b key="lineSplit">N</b>
              <b key="addRCRow">N</b>
              <b key="complementary">N</b>
              <b key="breakLevelSubtotal">N</b>
              <b key="alreadyDrilled">N</b>
            </be>
            <cust key="id" clsId="FilterOid">3</cust>
            <i key="index">0</i>
            <l key="children" refId="2406" ln="1" eid="Framework.com.tagetik.trees.INode,framework">
              <be refId="2407" clsId="FilterNode">
                <l key="dimensionOids" refId="2408" ln="1" eid="DimensionOid">
                  <cust clsId="DimensionOid">415A495F3130-45-524547494F4E414C5F56494557--50-</cust>
                </l>
                <l key="AdHocParamDimensionOids" refId="2409" ln="0" eid="DimensionOid"/>
                <be key="data" refId="2410" clsId="FilterNodeData">
                  <ref key="filterNode" refId="2407"/>
                  <s key="dim">AZI_10</s>
                  <i key="segmentLevel">0</i>
                  <ref key="segment" refId="17"/>
                  <b key="placeHolder">N</b>
                  <ref key="weight" refId="18"/>
                  <be key="textMatchingCondition" refId="2411" clsId="TextMatchingCondition">
                    <ref key="op" refId="20"/>
                    <s key="val"/>
                  </be>
                  <ref key="change" refId="21"/>
                  <ref key="dataType" refId="22"/>
                  <b key="prevailingDataType">N</b>
                  <ref key="editability" refId="23"/>
                  <b key="signChange">N</b>
                  <b key="nativeSignChange">N</b>
                  <i key="sco">0</i>
                  <b key="applyFiltersForForcedScenarioPeriodoMap">N</b>
                  <b key="lineSplit">N</b>
                  <b key="addRCRow">N</b>
                  <b key="complementary">N</b>
                  <b key="breakLevelSubtotal">N</b>
                  <b key="alreadyDrilled">N</b>
                </be>
                <cust key="id" clsId="FilterOid">4</cust>
                <i key="index">0</i>
                <ref key="parent" refId="2401"/>
              </be>
            </l>
            <ref key="parent" refId="2395"/>
          </be>
        </l>
      </be>
      <be key="dashboardData" refId="2412" clsId="DashboardMultiTemplateData"/>
    </be>
  </data>
</easyPacket>
</file>

<file path=customXml/itemProps1.xml><?xml version="1.0" encoding="utf-8"?>
<ds:datastoreItem xmlns:ds="http://schemas.openxmlformats.org/officeDocument/2006/customXml" ds:itemID="{02EAE940-F759-4934-8069-9E47ED15ADD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PL</vt:lpstr>
      <vt:lpstr>BS</vt:lpstr>
      <vt:lpstr>CF</vt:lpstr>
      <vt:lpstr>Comp. Analysis</vt:lpstr>
      <vt:lpstr>BOOK</vt:lpstr>
      <vt:lpstr>PLAN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2012-03-15T00:16:30Z</dcterms:created>
  <dc:creator>Sonia Barbarossa</dc:creator>
  <cp:lastModifiedBy>Alessio Lolli</cp:lastModifiedBy>
  <dcterms:modified xsi:type="dcterms:W3CDTF">2015-12-29T14:11:26Z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