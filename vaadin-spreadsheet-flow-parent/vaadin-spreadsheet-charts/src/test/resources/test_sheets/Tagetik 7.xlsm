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35" yWindow="45" windowWidth="14355" windowHeight="10035" firstSheet="1" activeTab="1"/>
  </bookViews>
  <sheets>
    <sheet name="_TGK_HIDDEN" sheetId="4" state="veryHidden" r:id="rId1"/>
    <sheet name="PL" sheetId="7" r:id="rId2"/>
    <sheet name="BS" sheetId="10" r:id="rId3"/>
    <sheet name="CF" sheetId="12" r:id="rId4"/>
    <sheet name="Comp. Analysis" sheetId="9" r:id="rId5"/>
  </sheets>
  <definedNames>
    <definedName name="_xlnm._FilterDatabase" localSheetId="2" hidden="1">BS!$H$5:$J$5</definedName>
    <definedName name="BOOK">PL!$B$1:$L$35</definedName>
    <definedName name="PLAN">'Comp. Analysis'!$B$4:$H$30</definedName>
  </definedNames>
  <calcPr calcId="145621"/>
</workbook>
</file>

<file path=xl/calcChain.xml><?xml version="1.0" encoding="utf-8"?>
<calcChain xmlns="http://schemas.openxmlformats.org/spreadsheetml/2006/main">
  <c r="F5" i="10" l="1"/>
  <c r="AC14" i="7" l="1"/>
  <c r="AD14" i="7"/>
  <c r="AE14" i="7"/>
  <c r="AF14" i="7"/>
  <c r="AG14" i="7"/>
  <c r="AH14" i="7"/>
  <c r="AI14" i="7"/>
  <c r="AJ14" i="7"/>
  <c r="AK14" i="7"/>
  <c r="AL14" i="7"/>
  <c r="AM14" i="7"/>
  <c r="AN14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F7" i="7" l="1"/>
  <c r="G7" i="7"/>
  <c r="F8" i="7"/>
  <c r="G8" i="7"/>
  <c r="C9" i="7"/>
  <c r="D9" i="7"/>
  <c r="F9" i="7"/>
  <c r="F11" i="7" s="1"/>
  <c r="G9" i="7"/>
  <c r="F10" i="7"/>
  <c r="G10" i="7"/>
  <c r="C11" i="7"/>
  <c r="C15" i="7" s="1"/>
  <c r="D11" i="7"/>
  <c r="G11" i="7" s="1"/>
  <c r="F12" i="7"/>
  <c r="G12" i="7"/>
  <c r="F13" i="7"/>
  <c r="G13" i="7"/>
  <c r="C14" i="7"/>
  <c r="D14" i="7"/>
  <c r="G14" i="7" s="1"/>
  <c r="F14" i="7"/>
  <c r="F15" i="7" s="1"/>
  <c r="F16" i="7"/>
  <c r="F24" i="7" s="1"/>
  <c r="F25" i="7" s="1"/>
  <c r="F30" i="7" s="1"/>
  <c r="G16" i="7"/>
  <c r="F17" i="7"/>
  <c r="G17" i="7"/>
  <c r="F18" i="7"/>
  <c r="G18" i="7"/>
  <c r="F19" i="7"/>
  <c r="G19" i="7"/>
  <c r="F20" i="7"/>
  <c r="G20" i="7"/>
  <c r="F21" i="7"/>
  <c r="G21" i="7"/>
  <c r="F22" i="7"/>
  <c r="G22" i="7"/>
  <c r="F23" i="7"/>
  <c r="G23" i="7"/>
  <c r="C24" i="7"/>
  <c r="C25" i="7" s="1"/>
  <c r="C30" i="7" s="1"/>
  <c r="C32" i="7" s="1"/>
  <c r="C34" i="7" s="1"/>
  <c r="D24" i="7"/>
  <c r="F26" i="7"/>
  <c r="G26" i="7"/>
  <c r="F27" i="7"/>
  <c r="G27" i="7"/>
  <c r="F28" i="7"/>
  <c r="G28" i="7"/>
  <c r="F29" i="7"/>
  <c r="G29" i="7"/>
  <c r="F31" i="7"/>
  <c r="G31" i="7"/>
  <c r="F33" i="7"/>
  <c r="G33" i="7"/>
  <c r="F32" i="7" l="1"/>
  <c r="F34" i="7" s="1"/>
  <c r="D15" i="7"/>
  <c r="G15" i="7" s="1"/>
  <c r="D25" i="7"/>
  <c r="D30" i="7" s="1"/>
  <c r="G25" i="7"/>
  <c r="G24" i="7"/>
  <c r="G30" i="7" l="1"/>
  <c r="D32" i="7"/>
  <c r="G32" i="7" l="1"/>
  <c r="D34" i="7"/>
  <c r="G34" i="7" s="1"/>
  <c r="F8" i="12"/>
  <c r="F14" i="12" s="1"/>
  <c r="G8" i="12"/>
  <c r="F9" i="12"/>
  <c r="G9" i="12"/>
  <c r="F10" i="12"/>
  <c r="G10" i="12"/>
  <c r="F11" i="12"/>
  <c r="G11" i="12"/>
  <c r="F12" i="12"/>
  <c r="G12" i="12"/>
  <c r="F13" i="12"/>
  <c r="G13" i="12"/>
  <c r="C14" i="12"/>
  <c r="D14" i="12"/>
  <c r="G14" i="12" s="1"/>
  <c r="F15" i="12"/>
  <c r="F25" i="12" s="1"/>
  <c r="G15" i="12"/>
  <c r="F16" i="12"/>
  <c r="G16" i="12"/>
  <c r="F17" i="12"/>
  <c r="G17" i="12"/>
  <c r="F18" i="12"/>
  <c r="G18" i="12"/>
  <c r="F19" i="12"/>
  <c r="G19" i="12"/>
  <c r="F20" i="12"/>
  <c r="G20" i="12"/>
  <c r="F21" i="12"/>
  <c r="G21" i="12"/>
  <c r="F22" i="12"/>
  <c r="G22" i="12"/>
  <c r="F23" i="12"/>
  <c r="G23" i="12"/>
  <c r="F24" i="12"/>
  <c r="G24" i="12"/>
  <c r="C25" i="12"/>
  <c r="D25" i="12"/>
  <c r="G25" i="12" s="1"/>
  <c r="F26" i="12"/>
  <c r="G26" i="12"/>
  <c r="F27" i="12"/>
  <c r="G27" i="12"/>
  <c r="F28" i="12"/>
  <c r="G28" i="12"/>
  <c r="F29" i="12"/>
  <c r="G29" i="12"/>
  <c r="F30" i="12"/>
  <c r="G30" i="12"/>
  <c r="F31" i="12"/>
  <c r="G31" i="12"/>
  <c r="F32" i="12"/>
  <c r="G32" i="12"/>
  <c r="F33" i="12"/>
  <c r="G33" i="12"/>
  <c r="F34" i="12"/>
  <c r="G34" i="12"/>
  <c r="F35" i="12"/>
  <c r="G35" i="12"/>
  <c r="F36" i="12"/>
  <c r="G36" i="12"/>
  <c r="F37" i="12"/>
  <c r="G37" i="12"/>
  <c r="F38" i="12"/>
  <c r="G38" i="12"/>
  <c r="F39" i="12"/>
  <c r="G39" i="12"/>
  <c r="F40" i="12"/>
  <c r="G40" i="12"/>
  <c r="F41" i="12"/>
  <c r="G41" i="12"/>
  <c r="F42" i="12"/>
  <c r="G42" i="12"/>
  <c r="F43" i="12"/>
  <c r="G43" i="12"/>
  <c r="F44" i="12"/>
  <c r="G44" i="12"/>
  <c r="F45" i="12"/>
  <c r="G45" i="12"/>
  <c r="F46" i="12"/>
  <c r="G46" i="12"/>
  <c r="F47" i="12"/>
  <c r="G47" i="12"/>
  <c r="F48" i="12"/>
  <c r="G48" i="12"/>
  <c r="F49" i="12"/>
  <c r="G49" i="12"/>
  <c r="F50" i="12"/>
  <c r="G50" i="12"/>
  <c r="F51" i="12"/>
  <c r="G51" i="12"/>
  <c r="F52" i="12"/>
  <c r="G52" i="12"/>
  <c r="F53" i="12"/>
  <c r="G53" i="12"/>
  <c r="F54" i="12"/>
  <c r="G54" i="12"/>
  <c r="F55" i="12"/>
  <c r="G55" i="12"/>
  <c r="F56" i="12"/>
  <c r="G56" i="12"/>
  <c r="F57" i="12"/>
  <c r="G57" i="12"/>
  <c r="F58" i="12"/>
  <c r="G58" i="12"/>
  <c r="F59" i="12"/>
  <c r="G59" i="12"/>
  <c r="F60" i="12"/>
  <c r="G60" i="12"/>
  <c r="F61" i="12"/>
  <c r="G61" i="12"/>
  <c r="F62" i="12"/>
  <c r="G62" i="12"/>
  <c r="F63" i="12"/>
  <c r="G63" i="12"/>
  <c r="F64" i="12"/>
  <c r="G64" i="12"/>
  <c r="F65" i="12"/>
  <c r="G65" i="12"/>
  <c r="F66" i="12"/>
  <c r="G66" i="12"/>
  <c r="F67" i="12"/>
  <c r="G67" i="12"/>
  <c r="F68" i="12"/>
  <c r="G68" i="12"/>
  <c r="F69" i="12"/>
  <c r="G69" i="12"/>
  <c r="F70" i="12"/>
  <c r="G70" i="12"/>
  <c r="F71" i="12"/>
  <c r="G71" i="12"/>
  <c r="F72" i="12"/>
  <c r="G72" i="12"/>
  <c r="F73" i="12"/>
  <c r="G73" i="12"/>
  <c r="F74" i="12"/>
  <c r="G74" i="12"/>
  <c r="C75" i="12"/>
  <c r="D75" i="12"/>
  <c r="F77" i="12"/>
  <c r="G77" i="12"/>
  <c r="F78" i="12"/>
  <c r="G78" i="12"/>
  <c r="F79" i="12"/>
  <c r="F83" i="12" s="1"/>
  <c r="G79" i="12"/>
  <c r="F80" i="12"/>
  <c r="G80" i="12"/>
  <c r="F81" i="12"/>
  <c r="G81" i="12"/>
  <c r="F82" i="12"/>
  <c r="G82" i="12"/>
  <c r="C83" i="12"/>
  <c r="D83" i="12"/>
  <c r="G83" i="12" s="1"/>
  <c r="F85" i="12"/>
  <c r="G85" i="12"/>
  <c r="F86" i="12"/>
  <c r="G86" i="12"/>
  <c r="F87" i="12"/>
  <c r="G87" i="12"/>
  <c r="F88" i="12"/>
  <c r="G88" i="12"/>
  <c r="F89" i="12"/>
  <c r="G89" i="12"/>
  <c r="F90" i="12"/>
  <c r="G90" i="12"/>
  <c r="F91" i="12"/>
  <c r="G91" i="12"/>
  <c r="F92" i="12"/>
  <c r="G92" i="12"/>
  <c r="F93" i="12"/>
  <c r="G93" i="12"/>
  <c r="F94" i="12"/>
  <c r="G94" i="12"/>
  <c r="F95" i="12"/>
  <c r="G95" i="12"/>
  <c r="C96" i="12"/>
  <c r="D96" i="12"/>
  <c r="G96" i="12" s="1"/>
  <c r="B2" i="4"/>
  <c r="O72" i="12"/>
  <c r="D76" i="12" l="1"/>
  <c r="C76" i="12"/>
  <c r="F75" i="12"/>
  <c r="F76" i="12" s="1"/>
  <c r="F84" i="12" s="1"/>
  <c r="C84" i="12"/>
  <c r="C97" i="12" s="1"/>
  <c r="F96" i="12"/>
  <c r="G76" i="12"/>
  <c r="D84" i="12"/>
  <c r="G75" i="12"/>
  <c r="F97" i="12" l="1"/>
  <c r="D97" i="12"/>
  <c r="G97" i="12" s="1"/>
  <c r="G84" i="12"/>
  <c r="B5" i="4" l="1"/>
  <c r="H7" i="9" l="1"/>
  <c r="N7" i="9"/>
  <c r="T7" i="9" s="1"/>
  <c r="P7" i="9"/>
  <c r="Q7" i="9"/>
  <c r="R7" i="9"/>
  <c r="S7" i="9"/>
  <c r="H8" i="9"/>
  <c r="N8" i="9"/>
  <c r="P8" i="9"/>
  <c r="Q8" i="9"/>
  <c r="R8" i="9"/>
  <c r="S8" i="9"/>
  <c r="H9" i="9"/>
  <c r="N9" i="9"/>
  <c r="T9" i="9" s="1"/>
  <c r="P9" i="9"/>
  <c r="Q9" i="9"/>
  <c r="R9" i="9"/>
  <c r="S9" i="9"/>
  <c r="H10" i="9"/>
  <c r="N10" i="9"/>
  <c r="P10" i="9"/>
  <c r="Q10" i="9"/>
  <c r="R10" i="9"/>
  <c r="S10" i="9"/>
  <c r="H11" i="9"/>
  <c r="N11" i="9"/>
  <c r="P11" i="9"/>
  <c r="Q11" i="9"/>
  <c r="R11" i="9"/>
  <c r="S11" i="9"/>
  <c r="H12" i="9"/>
  <c r="N12" i="9"/>
  <c r="P12" i="9"/>
  <c r="Q12" i="9"/>
  <c r="R12" i="9"/>
  <c r="S12" i="9"/>
  <c r="D13" i="9"/>
  <c r="E13" i="9"/>
  <c r="F13" i="9"/>
  <c r="G13" i="9"/>
  <c r="J13" i="9"/>
  <c r="K13" i="9"/>
  <c r="L13" i="9"/>
  <c r="M13" i="9"/>
  <c r="H15" i="9"/>
  <c r="N15" i="9"/>
  <c r="P15" i="9"/>
  <c r="Q15" i="9"/>
  <c r="R15" i="9"/>
  <c r="S15" i="9"/>
  <c r="H16" i="9"/>
  <c r="N16" i="9"/>
  <c r="P16" i="9"/>
  <c r="Q16" i="9"/>
  <c r="R16" i="9"/>
  <c r="S16" i="9"/>
  <c r="H17" i="9"/>
  <c r="T17" i="9" s="1"/>
  <c r="N17" i="9"/>
  <c r="P17" i="9"/>
  <c r="Q17" i="9"/>
  <c r="R17" i="9"/>
  <c r="S17" i="9"/>
  <c r="H18" i="9"/>
  <c r="N18" i="9"/>
  <c r="T18" i="9" s="1"/>
  <c r="P18" i="9"/>
  <c r="Q18" i="9"/>
  <c r="R18" i="9"/>
  <c r="S18" i="9"/>
  <c r="S21" i="9" s="1"/>
  <c r="H19" i="9"/>
  <c r="N19" i="9"/>
  <c r="P19" i="9"/>
  <c r="Q19" i="9"/>
  <c r="R19" i="9"/>
  <c r="S19" i="9"/>
  <c r="T19" i="9"/>
  <c r="H20" i="9"/>
  <c r="T20" i="9" s="1"/>
  <c r="N20" i="9"/>
  <c r="P20" i="9"/>
  <c r="Q20" i="9"/>
  <c r="R20" i="9"/>
  <c r="S20" i="9"/>
  <c r="D21" i="9"/>
  <c r="E21" i="9"/>
  <c r="F21" i="9"/>
  <c r="G21" i="9"/>
  <c r="J21" i="9"/>
  <c r="K21" i="9"/>
  <c r="L21" i="9"/>
  <c r="M21" i="9"/>
  <c r="H23" i="9"/>
  <c r="N23" i="9"/>
  <c r="P23" i="9"/>
  <c r="Q23" i="9"/>
  <c r="R23" i="9"/>
  <c r="S23" i="9"/>
  <c r="H24" i="9"/>
  <c r="T24" i="9" s="1"/>
  <c r="N24" i="9"/>
  <c r="P24" i="9"/>
  <c r="Q24" i="9"/>
  <c r="R24" i="9"/>
  <c r="S24" i="9"/>
  <c r="H25" i="9"/>
  <c r="N25" i="9"/>
  <c r="P25" i="9"/>
  <c r="Q25" i="9"/>
  <c r="R25" i="9"/>
  <c r="S25" i="9"/>
  <c r="H26" i="9"/>
  <c r="N26" i="9"/>
  <c r="P26" i="9"/>
  <c r="Q26" i="9"/>
  <c r="R26" i="9"/>
  <c r="S26" i="9"/>
  <c r="H27" i="9"/>
  <c r="N27" i="9"/>
  <c r="P27" i="9"/>
  <c r="Q27" i="9"/>
  <c r="R27" i="9"/>
  <c r="S27" i="9"/>
  <c r="H28" i="9"/>
  <c r="N28" i="9"/>
  <c r="P28" i="9"/>
  <c r="Q28" i="9"/>
  <c r="R28" i="9"/>
  <c r="S28" i="9"/>
  <c r="D29" i="9"/>
  <c r="D31" i="9" s="1"/>
  <c r="E29" i="9"/>
  <c r="F29" i="9"/>
  <c r="G29" i="9"/>
  <c r="J29" i="9"/>
  <c r="K29" i="9"/>
  <c r="L29" i="9"/>
  <c r="M29" i="9"/>
  <c r="S13" i="9" l="1"/>
  <c r="T12" i="9"/>
  <c r="T10" i="9"/>
  <c r="T13" i="9" s="1"/>
  <c r="M31" i="9"/>
  <c r="G31" i="9"/>
  <c r="P29" i="9"/>
  <c r="K31" i="9"/>
  <c r="N13" i="9"/>
  <c r="F31" i="9"/>
  <c r="R21" i="9"/>
  <c r="T15" i="9"/>
  <c r="T21" i="9" s="1"/>
  <c r="L31" i="9"/>
  <c r="T28" i="9"/>
  <c r="T8" i="9"/>
  <c r="T27" i="9"/>
  <c r="H21" i="9"/>
  <c r="Q21" i="9"/>
  <c r="P21" i="9"/>
  <c r="T11" i="9"/>
  <c r="Q29" i="9"/>
  <c r="Q31" i="9" s="1"/>
  <c r="Q13" i="9"/>
  <c r="T16" i="9"/>
  <c r="R13" i="9"/>
  <c r="R31" i="9" s="1"/>
  <c r="P13" i="9"/>
  <c r="R29" i="9"/>
  <c r="H29" i="9"/>
  <c r="E31" i="9"/>
  <c r="J31" i="9"/>
  <c r="T25" i="9"/>
  <c r="S29" i="9"/>
  <c r="S31" i="9" s="1"/>
  <c r="T23" i="9"/>
  <c r="H13" i="9"/>
  <c r="N29" i="9"/>
  <c r="T26" i="9"/>
  <c r="N21" i="9"/>
  <c r="P31" i="9" l="1"/>
  <c r="T29" i="9"/>
  <c r="H31" i="9"/>
  <c r="N31" i="9"/>
  <c r="T31" i="9"/>
  <c r="G1" i="7" l="1"/>
  <c r="H1" i="7" s="1"/>
  <c r="J4" i="9" l="1"/>
  <c r="D4" i="9"/>
  <c r="B4" i="4" l="1"/>
  <c r="B1" i="4" l="1"/>
</calcChain>
</file>

<file path=xl/sharedStrings.xml><?xml version="1.0" encoding="utf-8"?>
<sst xmlns="http://schemas.openxmlformats.org/spreadsheetml/2006/main" count="223" uniqueCount="168">
  <si>
    <t>Template00</t>
  </si>
  <si>
    <t>Cell Phone Expenses</t>
  </si>
  <si>
    <t>Workers Comp</t>
  </si>
  <si>
    <t>FUTA</t>
  </si>
  <si>
    <t>Bonus</t>
  </si>
  <si>
    <t>Benefits</t>
  </si>
  <si>
    <t>Medical Insurance</t>
  </si>
  <si>
    <t>FICA</t>
  </si>
  <si>
    <t>SUTA</t>
  </si>
  <si>
    <t>Life Insurance</t>
  </si>
  <si>
    <t>Auto Allowances</t>
  </si>
  <si>
    <t>Auto Repair/Maintenance</t>
  </si>
  <si>
    <t>Auto Insurance</t>
  </si>
  <si>
    <t>Auto Fuel</t>
  </si>
  <si>
    <t>Auto Lease</t>
  </si>
  <si>
    <t>Tax</t>
  </si>
  <si>
    <t>Template01</t>
  </si>
  <si>
    <t>Net Result</t>
  </si>
  <si>
    <t>Minorities result</t>
  </si>
  <si>
    <t>Group net result</t>
  </si>
  <si>
    <t>Scenario  Parametrico Budget</t>
  </si>
  <si>
    <t xml:space="preserve">CONCATENATE("Run by ",user.desc," on ",report.runDate)
</t>
  </si>
  <si>
    <t>Mar</t>
  </si>
  <si>
    <t>Balance Sheet</t>
  </si>
  <si>
    <t>Cost of Purchase</t>
  </si>
  <si>
    <t>Sales Discounts</t>
  </si>
  <si>
    <t>Advertising and Promotions</t>
  </si>
  <si>
    <t>Total direct costs</t>
  </si>
  <si>
    <t>Salary and Wages</t>
  </si>
  <si>
    <t>Payroll Benefits and Taxes</t>
  </si>
  <si>
    <t>Insurance</t>
  </si>
  <si>
    <t>Energy</t>
  </si>
  <si>
    <t>Distribution Costs &amp; Other G&amp;A Expenses</t>
  </si>
  <si>
    <t>Depreciation</t>
  </si>
  <si>
    <t>Provision for fund</t>
  </si>
  <si>
    <t>Cost Charge Back</t>
  </si>
  <si>
    <t>Extraordinary income and expenses</t>
  </si>
  <si>
    <t>Dividends</t>
  </si>
  <si>
    <t>Termination Indemnities</t>
  </si>
  <si>
    <t>Total</t>
  </si>
  <si>
    <t>Budget Scenario</t>
  </si>
  <si>
    <t>Main Bank Account- Initial Balance</t>
  </si>
  <si>
    <t>Group Main Bank Initial Balance</t>
  </si>
  <si>
    <t>Credit Banks  - Initial Balance</t>
  </si>
  <si>
    <t>Group Credit Banks  - Initial Balance</t>
  </si>
  <si>
    <t>Debit Banks - Initial Balance</t>
  </si>
  <si>
    <t>Group Debit Banks - Initial Balance</t>
  </si>
  <si>
    <t>Initial Balance</t>
  </si>
  <si>
    <t>Accounts Trade Receivable - Variations</t>
  </si>
  <si>
    <t>Outstanding Trade Receivables-Variations</t>
  </si>
  <si>
    <t>Accounts Receivable for tax advances - Variations</t>
  </si>
  <si>
    <t>Short Term Financial Credits- Variations</t>
  </si>
  <si>
    <t>Other Securities- Variations</t>
  </si>
  <si>
    <t>Product Revenues</t>
  </si>
  <si>
    <t>Other Revenues</t>
  </si>
  <si>
    <t>Financial Income</t>
  </si>
  <si>
    <t>IC Financial Incomes</t>
  </si>
  <si>
    <t>Cash in</t>
  </si>
  <si>
    <t>Commercial Accounts Payable - Variations</t>
  </si>
  <si>
    <t>Employees Liabilities-Variation</t>
  </si>
  <si>
    <t>VAT Payable -Variations</t>
  </si>
  <si>
    <t>Group VAT Credit / Debt-Variation</t>
  </si>
  <si>
    <t>Tax Liabilities-Variations</t>
  </si>
  <si>
    <t>Reserves For Risks- Use</t>
  </si>
  <si>
    <t>Termination indemnities-Use</t>
  </si>
  <si>
    <t>Other Reserves-Dividends</t>
  </si>
  <si>
    <t>Long term Financial Liabilities versus Banks -Variations</t>
  </si>
  <si>
    <t>Long term Financial Liabilities versus others-Variations</t>
  </si>
  <si>
    <t>Short Term Financial Liabilities  -Variations</t>
  </si>
  <si>
    <t>Cost of Good Sold</t>
  </si>
  <si>
    <t>Sales Deduction</t>
  </si>
  <si>
    <t>Wages and salaries</t>
  </si>
  <si>
    <t>Contributions</t>
  </si>
  <si>
    <t>Dental</t>
  </si>
  <si>
    <t>Cafeteria</t>
  </si>
  <si>
    <t>Taxes</t>
  </si>
  <si>
    <t>Utilities</t>
  </si>
  <si>
    <t>Rent</t>
  </si>
  <si>
    <t>Financial Expenses</t>
  </si>
  <si>
    <t>IC Financial Expenses</t>
  </si>
  <si>
    <t>Long Period Financial Expenses</t>
  </si>
  <si>
    <t>Interest income/loss frrom hedging on interest rate</t>
  </si>
  <si>
    <t>Net income (Loss) on exchange</t>
  </si>
  <si>
    <t>Cash out</t>
  </si>
  <si>
    <t>Intangible Assets - Investment</t>
  </si>
  <si>
    <t>Tangible Assets - Investment</t>
  </si>
  <si>
    <t xml:space="preserve">Long-term Investments - Variations </t>
  </si>
  <si>
    <t>Financial Investments-Variations: Acquisitions</t>
  </si>
  <si>
    <t>Equity Financial Investment: Other variations</t>
  </si>
  <si>
    <t>Current Financial Investments- other variations</t>
  </si>
  <si>
    <t>Investment</t>
  </si>
  <si>
    <t>Intangible Assets - Disinvestment</t>
  </si>
  <si>
    <t>Tangible Assets - Disinvestment</t>
  </si>
  <si>
    <t xml:space="preserve">Other Assets/Liabilities </t>
  </si>
  <si>
    <t>Other Assets/Liabilities  Equity- Variations</t>
  </si>
  <si>
    <t>Other assets / liabilities - IC adjustments</t>
  </si>
  <si>
    <t>Share Capital: Flow-Variation</t>
  </si>
  <si>
    <t>Retained net result -Dividends</t>
  </si>
  <si>
    <t>Capital Gain Asset Sales</t>
  </si>
  <si>
    <t>Capital loss Asset Sales</t>
  </si>
  <si>
    <t>Financial Investment devaluations</t>
  </si>
  <si>
    <t>Budget Scenario (ref3)</t>
  </si>
  <si>
    <t>Template03</t>
  </si>
  <si>
    <t>June</t>
  </si>
  <si>
    <t>Sept</t>
  </si>
  <si>
    <t>Dec</t>
  </si>
  <si>
    <t>Existing EEs</t>
  </si>
  <si>
    <t>Sales &amp; Mkt</t>
  </si>
  <si>
    <t>FP&amp;A</t>
  </si>
  <si>
    <t>IT Services</t>
  </si>
  <si>
    <t>Supply &amp; Planning</t>
  </si>
  <si>
    <t>CRM</t>
  </si>
  <si>
    <t>General Services</t>
  </si>
  <si>
    <t>Total Existing</t>
  </si>
  <si>
    <t>New Hires</t>
  </si>
  <si>
    <t>Total New Hires</t>
  </si>
  <si>
    <t>TOTAL EMPLOYEES</t>
  </si>
  <si>
    <t>Compensation Analysis</t>
  </si>
  <si>
    <t>Advertising &amp; Promos</t>
  </si>
  <si>
    <t>CONCATENATE("Run by ",user.desc," on ",report.runDate)</t>
  </si>
  <si>
    <t>$ Variance</t>
  </si>
  <si>
    <t>% Variance</t>
  </si>
  <si>
    <t>% Exp./Rev.</t>
  </si>
  <si>
    <t>Positions</t>
  </si>
  <si>
    <t>Total New Positions</t>
  </si>
  <si>
    <t>Variance</t>
  </si>
  <si>
    <t>Cash Flow</t>
  </si>
  <si>
    <t>CY</t>
  </si>
  <si>
    <t>PY</t>
  </si>
  <si>
    <t>Transactional Data</t>
  </si>
  <si>
    <t>025</t>
  </si>
  <si>
    <t>Balance Sheet LGAAP (DE Form)</t>
  </si>
  <si>
    <t>DESCRIPTION</t>
  </si>
  <si>
    <t>AMOUNT</t>
  </si>
  <si>
    <t>Template04</t>
  </si>
  <si>
    <t>GL_ACCOUNT</t>
  </si>
  <si>
    <t>Regional View Entity Selection</t>
  </si>
  <si>
    <t>Shipping Expenses</t>
  </si>
  <si>
    <t>Packaging Expenses</t>
  </si>
  <si>
    <t>Intangible Assets AD- Investments</t>
  </si>
  <si>
    <t>Tangible Assets BS Depr.- Investments</t>
  </si>
  <si>
    <t>IT costs</t>
  </si>
  <si>
    <t>Int. Assets Amortization</t>
  </si>
  <si>
    <t>Sales Revenue</t>
  </si>
  <si>
    <t>Other  Revenue</t>
  </si>
  <si>
    <t>Total Gross Sales</t>
  </si>
  <si>
    <t>Total Net Sales</t>
  </si>
  <si>
    <t>Gross Margin</t>
  </si>
  <si>
    <t>Total operating costs</t>
  </si>
  <si>
    <t>Net Margin</t>
  </si>
  <si>
    <t>Extraordinary income and expense</t>
  </si>
  <si>
    <t>Other Gains &amp; Losses</t>
  </si>
  <si>
    <t>Financial income and expense</t>
  </si>
  <si>
    <t>Result before taxes</t>
  </si>
  <si>
    <t>Net Cash used/generated</t>
  </si>
  <si>
    <t>Operating Surplus/Deficit</t>
  </si>
  <si>
    <t>Other Uses/Sources of Cash</t>
  </si>
  <si>
    <t>Ending Balance</t>
  </si>
  <si>
    <t>Jan</t>
  </si>
  <si>
    <t>Feb</t>
  </si>
  <si>
    <t>Apr</t>
  </si>
  <si>
    <t>May</t>
  </si>
  <si>
    <t>Jul</t>
  </si>
  <si>
    <t>Aug</t>
  </si>
  <si>
    <t>Oct</t>
  </si>
  <si>
    <t>Nov</t>
  </si>
  <si>
    <t xml:space="preserve"> </t>
  </si>
  <si>
    <t>Profit &amp;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</si>
</sst>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(&quot;€&quot;* #,##0_);_(&quot;€&quot;* \(#,##0\);_(&quot;€&quot;* &quot;-&quot;_);_(@_)"/>
    <numFmt numFmtId="44" formatCode="_(&quot;€&quot;* #,##0.00_);_(&quot;€&quot;* \(#,##0.00\);_(&quot;€&quot;* &quot;-&quot;??_);_(@_)"/>
    <numFmt numFmtId="164" formatCode="0.0%"/>
    <numFmt numFmtId="165" formatCode="#,##0.00,"/>
    <numFmt numFmtId="166" formatCode="#.###."/>
    <numFmt numFmtId="167" formatCode="#,##0,"/>
    <numFmt numFmtId="168" formatCode="dd/mm/yy;@"/>
    <numFmt numFmtId="169" formatCode="mm/dd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3"/>
      <name val="Tahoma"/>
      <family val="2"/>
    </font>
    <font>
      <sz val="11"/>
      <color theme="3"/>
      <name val="Tahoma"/>
      <family val="2"/>
    </font>
    <font>
      <b/>
      <sz val="11"/>
      <color theme="3"/>
      <name val="Tahoma"/>
      <family val="2"/>
    </font>
    <font>
      <b/>
      <sz val="9"/>
      <color theme="0"/>
      <name val="Tahoma"/>
      <family val="2"/>
    </font>
    <font>
      <b/>
      <sz val="11"/>
      <name val="Tahoma"/>
      <family val="2"/>
    </font>
    <font>
      <sz val="9"/>
      <color theme="3"/>
      <name val="Tahoma"/>
      <family val="2"/>
    </font>
    <font>
      <b/>
      <sz val="9"/>
      <color indexed="9"/>
      <name val="Tahoma"/>
      <family val="2"/>
    </font>
    <font>
      <b/>
      <sz val="10"/>
      <color theme="3"/>
      <name val="Tahoma"/>
      <family val="2"/>
    </font>
    <font>
      <b/>
      <sz val="9"/>
      <color indexed="27"/>
      <name val="Arial"/>
      <family val="2"/>
    </font>
    <font>
      <sz val="9"/>
      <color theme="0"/>
      <name val="Tahoma"/>
      <family val="2"/>
    </font>
    <font>
      <sz val="10"/>
      <color theme="3"/>
      <name val="Tahoma"/>
      <family val="2"/>
    </font>
    <font>
      <b/>
      <sz val="10"/>
      <name val="Tahoma"/>
      <family val="2"/>
    </font>
    <font>
      <i/>
      <sz val="10"/>
      <color theme="3"/>
      <name val="Tahoma"/>
      <family val="2"/>
    </font>
    <font>
      <i/>
      <sz val="10"/>
      <name val="Tahoma"/>
      <family val="2"/>
    </font>
    <font>
      <sz val="12"/>
      <color rgb="FF094A74"/>
      <name val="Tahoma"/>
      <family val="2"/>
    </font>
    <font>
      <b/>
      <sz val="10"/>
      <color rgb="FF094A74"/>
      <name val="Tahoma"/>
      <family val="2"/>
    </font>
    <font>
      <sz val="8"/>
      <color indexed="8"/>
      <name val="Tahoma"/>
      <family val="2"/>
    </font>
    <font>
      <sz val="11"/>
      <name val="Webdings"/>
      <family val="1"/>
      <charset val="2"/>
    </font>
    <font>
      <sz val="10"/>
      <color indexed="9"/>
      <name val="Tahoma"/>
      <family val="2"/>
    </font>
    <font>
      <u/>
      <sz val="10"/>
      <color theme="3"/>
      <name val="Tahoma"/>
      <family val="2"/>
    </font>
    <font>
      <sz val="9"/>
      <name val="Arial"/>
      <family val="2"/>
    </font>
    <font>
      <sz val="10"/>
      <color indexed="14"/>
      <name val="Arial"/>
      <family val="2"/>
    </font>
    <font>
      <sz val="10"/>
      <color indexed="9"/>
      <name val="Arial"/>
      <family val="2"/>
    </font>
    <font>
      <b/>
      <sz val="10"/>
      <color theme="3"/>
      <name val="Arial"/>
      <family val="2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b/>
      <sz val="8"/>
      <color theme="3"/>
      <name val="Tahoma"/>
      <family val="2"/>
    </font>
    <font>
      <u/>
      <sz val="8"/>
      <color theme="3"/>
      <name val="Tahoma"/>
      <family val="2"/>
    </font>
    <font>
      <b/>
      <sz val="14"/>
      <color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8"/>
      <color rgb="FF094A74"/>
      <name val="Tahoma"/>
      <family val="2"/>
    </font>
    <font>
      <b/>
      <sz val="18"/>
      <color theme="3"/>
      <name val="Cambria"/>
      <family val="2"/>
      <scheme val="major"/>
    </font>
    <font>
      <sz val="14"/>
      <color rgb="FFFF0000"/>
      <name val="Webdings"/>
      <family val="1"/>
      <charset val="2"/>
    </font>
    <font>
      <b/>
      <sz val="11"/>
      <color theme="0"/>
      <name val="Calibri"/>
      <family val="2"/>
      <scheme val="minor"/>
    </font>
    <font>
      <sz val="8"/>
      <color theme="0"/>
      <name val="Tahoma"/>
      <family val="2"/>
    </font>
    <font>
      <b/>
      <i/>
      <sz val="8"/>
      <color theme="3"/>
      <name val="Tahoma"/>
      <family val="2"/>
    </font>
    <font>
      <b/>
      <sz val="8"/>
      <color theme="0" tint="-0.34998626667073579"/>
      <name val="Tahoma"/>
      <family val="2"/>
    </font>
    <font>
      <b/>
      <sz val="8"/>
      <color theme="0" tint="-0.249977111117893"/>
      <name val="Tahoma"/>
      <family val="2"/>
    </font>
    <font>
      <sz val="8"/>
      <color rgb="FFFF0000"/>
      <name val="Webdings"/>
      <family val="1"/>
      <charset val="2"/>
    </font>
    <font>
      <sz val="8"/>
      <color theme="1"/>
      <name val="Webdings"/>
      <family val="1"/>
      <charset val="2"/>
    </font>
    <font>
      <sz val="14"/>
      <color theme="3"/>
      <name val="Tahoma"/>
      <family val="2"/>
    </font>
    <font>
      <u/>
      <sz val="9"/>
      <color theme="3"/>
      <name val="Tahoma"/>
      <family val="2"/>
    </font>
    <font>
      <b/>
      <i/>
      <sz val="10"/>
      <color theme="3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i/>
      <sz val="8"/>
      <name val="Arial"/>
      <family val="2"/>
    </font>
    <font>
      <b/>
      <sz val="10"/>
      <color rgb="FFFF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rgb="FF094A74"/>
        <bgColor rgb="FF094A74"/>
      </patternFill>
    </fill>
    <fill>
      <patternFill patternType="solid">
        <fgColor indexed="31"/>
        <bgColor indexed="64"/>
      </patternFill>
    </fill>
    <fill>
      <patternFill patternType="solid">
        <fgColor theme="2"/>
        <bgColor indexed="26"/>
      </patternFill>
    </fill>
    <fill>
      <patternFill patternType="solid">
        <fgColor indexed="27"/>
        <bgColor indexed="64"/>
      </patternFill>
    </fill>
    <fill>
      <patternFill patternType="solid">
        <fgColor theme="8" tint="0.79998168889431442"/>
        <bgColor rgb="FFD8EBF6"/>
      </patternFill>
    </fill>
    <fill>
      <patternFill patternType="solid">
        <fgColor theme="0"/>
        <bgColor theme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rgb="FFF8FBD1"/>
        <bgColor indexed="2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F0F6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/>
      <bottom style="medium">
        <color rgb="FF094A7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medium">
        <color theme="3" tint="0.79998168889431442"/>
      </bottom>
      <diagonal/>
    </border>
    <border>
      <left/>
      <right/>
      <top/>
      <bottom style="double">
        <color theme="3" tint="0.79998168889431442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0"/>
      </left>
      <right/>
      <top/>
      <bottom style="thick">
        <color theme="3"/>
      </bottom>
      <diagonal/>
    </border>
    <border>
      <left/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/>
      <top/>
      <bottom/>
      <diagonal/>
    </border>
  </borders>
  <cellStyleXfs count="100">
    <xf numFmtId="0" fontId="0" fillId="0" borderId="0"/>
    <xf numFmtId="0" fontId="2" fillId="0" borderId="0"/>
    <xf numFmtId="0" fontId="6" fillId="2" borderId="1" applyNumberFormat="0" applyProtection="0">
      <alignment horizontal="center" vertical="center" wrapText="1"/>
    </xf>
    <xf numFmtId="9" fontId="7" fillId="3" borderId="2" applyNumberFormat="0" applyFont="0" applyFill="0" applyAlignment="0">
      <alignment horizontal="left" indent="2"/>
    </xf>
    <xf numFmtId="9" fontId="9" fillId="4" borderId="3" applyNumberFormat="0" applyFont="0" applyFill="0" applyBorder="0" applyProtection="0">
      <alignment horizontal="right"/>
    </xf>
    <xf numFmtId="10" fontId="9" fillId="4" borderId="3" applyFont="0" applyFill="0" applyBorder="0" applyAlignment="0" applyProtection="0">
      <alignment horizontal="center"/>
    </xf>
    <xf numFmtId="9" fontId="29" fillId="0" borderId="0" applyNumberFormat="0" applyFill="0" applyBorder="0" applyAlignment="0" applyProtection="0"/>
    <xf numFmtId="3" fontId="2" fillId="6" borderId="5" applyNumberFormat="0" applyFont="0" applyBorder="0" applyAlignment="0" applyProtection="0">
      <alignment horizontal="right"/>
    </xf>
    <xf numFmtId="9" fontId="11" fillId="4" borderId="3" applyNumberFormat="0" applyFont="0" applyBorder="0" applyAlignment="0" applyProtection="0">
      <alignment horizontal="center"/>
    </xf>
    <xf numFmtId="9" fontId="12" fillId="7" borderId="0" applyNumberFormat="0" applyAlignment="0">
      <alignment horizontal="center"/>
    </xf>
    <xf numFmtId="0" fontId="2" fillId="8" borderId="0" applyNumberFormat="0" applyFont="0" applyBorder="0" applyAlignment="0" applyProtection="0"/>
    <xf numFmtId="3" fontId="13" fillId="0" borderId="6" applyFill="0" applyProtection="0">
      <alignment horizontal="right"/>
    </xf>
    <xf numFmtId="0" fontId="14" fillId="9" borderId="2" applyNumberFormat="0" applyFont="0" applyFill="0" applyAlignment="0" applyProtection="0"/>
    <xf numFmtId="168" fontId="1" fillId="0" borderId="0" applyFont="0" applyFill="0" applyBorder="0" applyAlignment="0"/>
    <xf numFmtId="9" fontId="5" fillId="3" borderId="4" applyNumberFormat="0" applyFill="0" applyBorder="0" applyAlignment="0" applyProtection="0">
      <alignment horizontal="left" indent="2"/>
    </xf>
    <xf numFmtId="0" fontId="15" fillId="9" borderId="4" applyNumberFormat="0" applyFill="0" applyBorder="0" applyAlignment="0" applyProtection="0"/>
    <xf numFmtId="0" fontId="16" fillId="9" borderId="4" applyNumberFormat="0" applyFont="0" applyBorder="0" applyAlignment="0" applyProtection="0"/>
    <xf numFmtId="9" fontId="14" fillId="5" borderId="4" applyNumberFormat="0" applyFont="0" applyFill="0" applyBorder="0" applyProtection="0">
      <alignment horizontal="left" indent="1"/>
    </xf>
    <xf numFmtId="9" fontId="9" fillId="4" borderId="3" applyNumberFormat="0" applyFont="0" applyFill="0" applyBorder="0" applyProtection="0">
      <alignment horizontal="left" indent="1"/>
    </xf>
    <xf numFmtId="9" fontId="17" fillId="4" borderId="7" applyNumberFormat="0" applyFill="0" applyProtection="0"/>
    <xf numFmtId="4" fontId="9" fillId="4" borderId="3" applyFont="0" applyFill="0" applyBorder="0" applyAlignment="0" applyProtection="0">
      <alignment horizontal="center"/>
    </xf>
    <xf numFmtId="164" fontId="9" fillId="10" borderId="3" applyFont="0" applyFill="0" applyBorder="0" applyAlignment="0" applyProtection="0">
      <alignment horizontal="center"/>
    </xf>
    <xf numFmtId="9" fontId="16" fillId="5" borderId="4" applyFont="0" applyFill="0" applyBorder="0" applyAlignment="0" applyProtection="0">
      <alignment horizontal="center"/>
    </xf>
    <xf numFmtId="9" fontId="18" fillId="4" borderId="0" applyNumberFormat="0" applyFill="0">
      <alignment horizontal="left"/>
    </xf>
    <xf numFmtId="0" fontId="14" fillId="9" borderId="8" applyNumberFormat="0" applyFont="0" applyBorder="0" applyAlignment="0" applyProtection="0"/>
    <xf numFmtId="3" fontId="19" fillId="11" borderId="9" applyNumberFormat="0" applyFont="0" applyFill="0" applyProtection="0">
      <alignment horizontal="left"/>
    </xf>
    <xf numFmtId="0" fontId="20" fillId="0" borderId="3">
      <alignment horizontal="center" vertical="center"/>
    </xf>
    <xf numFmtId="0" fontId="10" fillId="12" borderId="2" applyNumberFormat="0"/>
    <xf numFmtId="9" fontId="14" fillId="5" borderId="4" applyNumberFormat="0" applyFill="0" applyBorder="0" applyAlignment="0" applyProtection="0">
      <alignment horizontal="center"/>
    </xf>
    <xf numFmtId="49" fontId="21" fillId="4" borderId="3" applyFill="0" applyBorder="0" applyProtection="0">
      <alignment horizontal="left" wrapText="1"/>
    </xf>
    <xf numFmtId="9" fontId="9" fillId="4" borderId="3" applyNumberFormat="0" applyFont="0" applyFill="0" applyBorder="0" applyProtection="0">
      <alignment horizontal="center"/>
    </xf>
    <xf numFmtId="9" fontId="9" fillId="13" borderId="3" applyNumberFormat="0" applyFont="0" applyBorder="0" applyAlignment="0" applyProtection="0">
      <alignment horizontal="center"/>
    </xf>
    <xf numFmtId="0" fontId="22" fillId="4" borderId="3" applyNumberFormat="0" applyFill="0" applyBorder="0" applyProtection="0">
      <alignment horizontal="left" indent="2"/>
    </xf>
    <xf numFmtId="0" fontId="12" fillId="2" borderId="1" applyNumberFormat="0" applyProtection="0">
      <alignment horizontal="center" vertical="center" wrapText="1"/>
    </xf>
    <xf numFmtId="0" fontId="14" fillId="5" borderId="4" applyNumberFormat="0" applyFill="0" applyBorder="0" applyAlignment="0" applyProtection="0">
      <alignment horizontal="center"/>
    </xf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9" fontId="1" fillId="0" borderId="0" applyFont="0" applyFill="0" applyBorder="0" applyAlignment="0" applyProtection="0"/>
    <xf numFmtId="10" fontId="1" fillId="0" borderId="0" applyFont="0" applyFill="0" applyBorder="0" applyAlignment="0"/>
    <xf numFmtId="165" fontId="28" fillId="26" borderId="11" applyNumberFormat="0" applyProtection="0">
      <alignment horizontal="center" vertical="center" wrapText="1"/>
    </xf>
    <xf numFmtId="9" fontId="1" fillId="0" borderId="0" applyNumberFormat="0" applyFont="0" applyFill="0" applyBorder="0" applyProtection="0">
      <alignment horizontal="left" vertical="center" wrapText="1"/>
    </xf>
    <xf numFmtId="9" fontId="1" fillId="0" borderId="12" applyNumberFormat="0" applyFont="0" applyFill="0" applyAlignment="0"/>
    <xf numFmtId="165" fontId="28" fillId="0" borderId="13" applyNumberFormat="0" applyFill="0" applyProtection="0">
      <alignment horizontal="center" vertical="center" wrapText="1"/>
    </xf>
    <xf numFmtId="165" fontId="1" fillId="26" borderId="14" applyNumberFormat="0" applyFont="0" applyAlignment="0"/>
    <xf numFmtId="0" fontId="28" fillId="27" borderId="15" applyFill="0">
      <alignment horizontal="center" vertical="center" wrapText="1"/>
    </xf>
    <xf numFmtId="165" fontId="29" fillId="0" borderId="0" applyNumberFormat="0" applyFill="0" applyBorder="0" applyProtection="0">
      <alignment horizontal="right"/>
    </xf>
    <xf numFmtId="9" fontId="27" fillId="0" borderId="0" applyNumberFormat="0" applyFill="0" applyBorder="0" applyAlignment="0" applyProtection="0"/>
    <xf numFmtId="0" fontId="28" fillId="0" borderId="12" applyNumberFormat="0" applyFill="0">
      <alignment horizontal="left" vertical="center"/>
    </xf>
    <xf numFmtId="9" fontId="30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0" fontId="28" fillId="0" borderId="14" applyNumberFormat="0" applyFill="0" applyAlignment="0"/>
    <xf numFmtId="9" fontId="27" fillId="28" borderId="1" applyNumberFormat="0" applyAlignment="0"/>
    <xf numFmtId="3" fontId="28" fillId="0" borderId="0" applyFill="0" applyBorder="0" applyProtection="0">
      <alignment horizontal="right" vertical="center"/>
    </xf>
    <xf numFmtId="165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right" vertical="center" wrapText="1"/>
    </xf>
    <xf numFmtId="9" fontId="29" fillId="29" borderId="0" applyNumberFormat="0" applyBorder="0" applyProtection="0">
      <alignment horizontal="right" vertical="center"/>
    </xf>
    <xf numFmtId="9" fontId="29" fillId="29" borderId="0" applyNumberFormat="0" applyBorder="0" applyProtection="0">
      <alignment horizontal="left" vertical="center" wrapText="1"/>
    </xf>
    <xf numFmtId="165" fontId="29" fillId="29" borderId="10" applyNumberFormat="0" applyFill="0" applyBorder="0" applyAlignment="0"/>
    <xf numFmtId="166" fontId="29" fillId="29" borderId="16" applyNumberFormat="0" applyFill="0" applyBorder="0">
      <alignment horizontal="left" vertical="center"/>
    </xf>
    <xf numFmtId="165" fontId="29" fillId="29" borderId="17" applyNumberFormat="0">
      <alignment horizontal="right"/>
    </xf>
    <xf numFmtId="49" fontId="29" fillId="29" borderId="17">
      <alignment horizontal="left"/>
    </xf>
    <xf numFmtId="9" fontId="29" fillId="29" borderId="12" applyNumberFormat="0">
      <alignment horizontal="left" vertical="center" wrapText="1"/>
    </xf>
    <xf numFmtId="9" fontId="29" fillId="0" borderId="18" applyNumberFormat="0" applyFill="0">
      <alignment horizontal="left"/>
    </xf>
    <xf numFmtId="9" fontId="30" fillId="0" borderId="0" applyNumberFormat="0" applyFill="0" applyBorder="0" applyAlignment="0"/>
    <xf numFmtId="164" fontId="1" fillId="0" borderId="0" applyFont="0" applyFill="0" applyBorder="0" applyAlignment="0"/>
    <xf numFmtId="167" fontId="1" fillId="0" borderId="0" applyFont="0" applyFill="0" applyBorder="0" applyAlignment="0"/>
    <xf numFmtId="9" fontId="29" fillId="0" borderId="19" applyNumberFormat="0" applyFill="0"/>
    <xf numFmtId="9" fontId="32" fillId="0" borderId="0" applyNumberFormat="0" applyFill="0" applyBorder="0" applyAlignment="0"/>
    <xf numFmtId="9" fontId="29" fillId="29" borderId="12" applyNumberFormat="0">
      <alignment horizontal="right" vertical="center"/>
    </xf>
    <xf numFmtId="169" fontId="1" fillId="0" borderId="0" applyFont="0" applyFill="0" applyBorder="0" applyAlignment="0"/>
    <xf numFmtId="0" fontId="33" fillId="0" borderId="0" applyNumberFormat="0" applyFill="0" applyBorder="0" applyProtection="0">
      <alignment horizontal="right"/>
    </xf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NumberFormat="0" applyFont="0" applyFill="0" applyBorder="0" applyProtection="0">
      <alignment horizontal="center"/>
    </xf>
    <xf numFmtId="9" fontId="1" fillId="0" borderId="0" applyNumberFormat="0" applyFont="0" applyFill="0" applyBorder="0" applyProtection="0">
      <alignment horizontal="left"/>
    </xf>
    <xf numFmtId="9" fontId="1" fillId="8" borderId="0" applyNumberFormat="0" applyFont="0" applyBorder="0" applyAlignment="0" applyProtection="0"/>
    <xf numFmtId="9" fontId="4" fillId="0" borderId="0" applyNumberFormat="0" applyFill="0" applyBorder="0" applyAlignment="0" applyProtection="0"/>
    <xf numFmtId="9" fontId="5" fillId="0" borderId="0" applyNumberFormat="0" applyFill="0" applyBorder="0" applyAlignment="0" applyProtection="0"/>
    <xf numFmtId="37" fontId="4" fillId="0" borderId="0" applyFill="0" applyBorder="0" applyProtection="0">
      <alignment horizontal="right" vertical="center"/>
    </xf>
    <xf numFmtId="0" fontId="35" fillId="0" borderId="0" applyNumberFormat="0" applyFill="0" applyBorder="0" applyAlignment="0" applyProtection="0"/>
    <xf numFmtId="2" fontId="33" fillId="0" borderId="0" applyFont="0" applyFill="0" applyBorder="0" applyAlignment="0" applyProtection="0">
      <alignment horizontal="left"/>
    </xf>
    <xf numFmtId="0" fontId="36" fillId="0" borderId="0">
      <alignment horizontal="center" vertical="center"/>
    </xf>
    <xf numFmtId="0" fontId="36" fillId="0" borderId="20" applyFill="0" applyProtection="0">
      <alignment horizontal="center" vertical="center"/>
    </xf>
    <xf numFmtId="9" fontId="29" fillId="0" borderId="0" applyNumberFormat="0" applyFill="0"/>
    <xf numFmtId="9" fontId="38" fillId="0" borderId="0" applyNumberFormat="0" applyFill="0" applyAlignment="0"/>
    <xf numFmtId="9" fontId="1" fillId="0" borderId="0" applyNumberFormat="0" applyFont="0" applyFill="0" applyBorder="0" applyProtection="0">
      <alignment horizontal="center" vertical="center"/>
    </xf>
    <xf numFmtId="9" fontId="39" fillId="0" borderId="0" applyNumberFormat="0" applyFill="0" applyBorder="0" applyAlignment="0" applyProtection="0"/>
    <xf numFmtId="9" fontId="42" fillId="0" borderId="0" applyFill="0" applyBorder="0" applyProtection="0">
      <alignment horizontal="center" vertical="center"/>
    </xf>
    <xf numFmtId="1" fontId="43" fillId="0" borderId="0" applyFill="0" applyBorder="0" applyProtection="0">
      <alignment horizontal="center" vertical="center"/>
    </xf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Protection="1"/>
    <xf numFmtId="0" fontId="0" fillId="0" borderId="0" xfId="0" applyFill="1" applyBorder="1" applyProtection="1"/>
    <xf numFmtId="0" fontId="23" fillId="0" borderId="0" xfId="0" applyFont="1" applyAlignment="1" applyProtection="1"/>
    <xf numFmtId="0" fontId="0" fillId="0" borderId="0" xfId="0" applyFill="1" applyBorder="1"/>
    <xf numFmtId="0" fontId="0" fillId="0" borderId="0" xfId="0" applyAlignment="1" applyProtection="1">
      <alignment horizontal="center"/>
    </xf>
    <xf numFmtId="10" fontId="24" fillId="0" borderId="0" xfId="0" applyNumberFormat="1" applyFont="1" applyProtection="1"/>
    <xf numFmtId="10" fontId="25" fillId="0" borderId="0" xfId="0" applyNumberFormat="1" applyFont="1" applyProtection="1"/>
    <xf numFmtId="0" fontId="0" fillId="0" borderId="0" xfId="0" quotePrefix="1" applyProtection="1"/>
    <xf numFmtId="0" fontId="0" fillId="0" borderId="0" xfId="0" quotePrefix="1" applyFill="1" applyBorder="1" applyProtection="1"/>
    <xf numFmtId="3" fontId="0" fillId="0" borderId="0" xfId="0" applyNumberFormat="1" applyFill="1" applyBorder="1" applyProtection="1"/>
    <xf numFmtId="0" fontId="10" fillId="0" borderId="0" xfId="0" quotePrefix="1" applyFont="1" applyAlignment="1" applyProtection="1">
      <alignment horizontal="left"/>
    </xf>
    <xf numFmtId="0" fontId="26" fillId="0" borderId="0" xfId="0" applyFont="1" applyAlignment="1">
      <alignment horizontal="left"/>
    </xf>
    <xf numFmtId="0" fontId="0" fillId="0" borderId="0" xfId="0" quotePrefix="1" applyFill="1" applyBorder="1"/>
    <xf numFmtId="0" fontId="28" fillId="0" borderId="15" xfId="54" quotePrefix="1" applyFill="1">
      <alignment horizontal="center" vertical="center" wrapText="1"/>
    </xf>
    <xf numFmtId="0" fontId="27" fillId="28" borderId="1" xfId="61" quotePrefix="1" applyNumberFormat="1" applyAlignment="1">
      <alignment horizontal="center" vertical="center" wrapText="1"/>
    </xf>
    <xf numFmtId="0" fontId="28" fillId="0" borderId="12" xfId="51" quotePrefix="1" applyNumberFormat="1" applyFont="1" applyAlignment="1">
      <alignment horizontal="left"/>
    </xf>
    <xf numFmtId="3" fontId="28" fillId="0" borderId="12" xfId="51" applyNumberFormat="1" applyFont="1" applyAlignment="1">
      <alignment horizontal="right" vertical="center"/>
    </xf>
    <xf numFmtId="3" fontId="27" fillId="28" borderId="12" xfId="51" applyNumberFormat="1" applyFont="1" applyFill="1" applyAlignment="1">
      <alignment horizontal="right" vertical="center"/>
    </xf>
    <xf numFmtId="3" fontId="29" fillId="0" borderId="12" xfId="67" applyNumberFormat="1" applyFill="1" applyBorder="1" applyAlignment="1">
      <alignment horizontal="right" vertical="center"/>
    </xf>
    <xf numFmtId="3" fontId="29" fillId="28" borderId="12" xfId="67" applyNumberFormat="1" applyFill="1" applyBorder="1" applyAlignment="1">
      <alignment horizontal="right" vertical="center"/>
    </xf>
    <xf numFmtId="3" fontId="29" fillId="29" borderId="17" xfId="69" applyNumberFormat="1">
      <alignment horizontal="right"/>
    </xf>
    <xf numFmtId="0" fontId="29" fillId="0" borderId="12" xfId="68" quotePrefix="1" applyNumberFormat="1" applyFill="1" applyBorder="1">
      <alignment horizontal="left" vertical="center"/>
    </xf>
    <xf numFmtId="49" fontId="29" fillId="29" borderId="17" xfId="70" quotePrefix="1">
      <alignment horizontal="left"/>
    </xf>
    <xf numFmtId="0" fontId="3" fillId="0" borderId="0" xfId="0" quotePrefix="1" applyFont="1" applyAlignment="1" applyProtection="1">
      <alignment vertical="center"/>
    </xf>
    <xf numFmtId="0" fontId="29" fillId="29" borderId="12" xfId="71" quotePrefix="1" applyNumberFormat="1">
      <alignment horizontal="left" vertical="center" wrapText="1"/>
    </xf>
    <xf numFmtId="3" fontId="29" fillId="29" borderId="12" xfId="78" applyNumberFormat="1">
      <alignment horizontal="right" vertical="center"/>
    </xf>
    <xf numFmtId="164" fontId="28" fillId="0" borderId="12" xfId="74" applyFont="1" applyBorder="1" applyAlignment="1">
      <alignment horizontal="right" vertical="center"/>
    </xf>
    <xf numFmtId="164" fontId="29" fillId="0" borderId="12" xfId="74" applyFont="1" applyFill="1" applyBorder="1" applyAlignment="1">
      <alignment horizontal="right" vertical="center"/>
    </xf>
    <xf numFmtId="164" fontId="29" fillId="29" borderId="17" xfId="74" applyFont="1" applyFill="1" applyBorder="1" applyAlignment="1">
      <alignment horizontal="right"/>
    </xf>
    <xf numFmtId="0" fontId="31" fillId="0" borderId="0" xfId="0" quotePrefix="1" applyFont="1" applyAlignment="1" applyProtection="1">
      <alignment horizontal="left" vertical="center"/>
    </xf>
    <xf numFmtId="3" fontId="28" fillId="0" borderId="12" xfId="62" applyBorder="1">
      <alignment horizontal="right" vertical="center"/>
    </xf>
    <xf numFmtId="0" fontId="0" fillId="0" borderId="0" xfId="0" applyBorder="1" applyAlignment="1" applyProtection="1">
      <alignment horizontal="right"/>
    </xf>
    <xf numFmtId="0" fontId="0" fillId="0" borderId="0" xfId="0" applyBorder="1" applyProtection="1"/>
    <xf numFmtId="0" fontId="27" fillId="28" borderId="1" xfId="61" applyNumberFormat="1" applyAlignment="1">
      <alignment horizontal="center" vertical="center" wrapText="1"/>
    </xf>
    <xf numFmtId="3" fontId="28" fillId="28" borderId="12" xfId="62" applyFill="1" applyBorder="1">
      <alignment horizontal="right" vertical="center"/>
    </xf>
    <xf numFmtId="0" fontId="29" fillId="0" borderId="12" xfId="51" quotePrefix="1" applyNumberFormat="1" applyFont="1" applyAlignment="1">
      <alignment horizontal="left"/>
    </xf>
    <xf numFmtId="3" fontId="29" fillId="0" borderId="12" xfId="51" applyNumberFormat="1" applyFont="1" applyAlignment="1">
      <alignment horizontal="right" vertical="center"/>
    </xf>
    <xf numFmtId="3" fontId="37" fillId="28" borderId="12" xfId="51" applyNumberFormat="1" applyFont="1" applyFill="1" applyAlignment="1">
      <alignment horizontal="right" vertical="center"/>
    </xf>
    <xf numFmtId="0" fontId="29" fillId="0" borderId="0" xfId="93" applyNumberFormat="1"/>
    <xf numFmtId="3" fontId="38" fillId="0" borderId="0" xfId="94" applyNumberFormat="1" applyAlignment="1">
      <alignment horizontal="right" vertical="center"/>
    </xf>
    <xf numFmtId="3" fontId="38" fillId="28" borderId="0" xfId="94" applyNumberFormat="1" applyFill="1" applyAlignment="1">
      <alignment horizontal="right" vertical="center"/>
    </xf>
    <xf numFmtId="0" fontId="40" fillId="0" borderId="0" xfId="0" quotePrefix="1" applyFont="1" applyBorder="1" applyAlignment="1" applyProtection="1">
      <alignment horizontal="left"/>
    </xf>
    <xf numFmtId="0" fontId="41" fillId="0" borderId="0" xfId="0" quotePrefix="1" applyFont="1" applyBorder="1" applyAlignment="1" applyProtection="1">
      <alignment horizontal="left"/>
    </xf>
    <xf numFmtId="0" fontId="29" fillId="0" borderId="0" xfId="51" quotePrefix="1" applyNumberFormat="1" applyFont="1" applyBorder="1" applyAlignment="1">
      <alignment horizontal="left"/>
    </xf>
    <xf numFmtId="0" fontId="31" fillId="0" borderId="0" xfId="0" quotePrefix="1" applyFont="1" applyBorder="1" applyAlignment="1" applyProtection="1">
      <alignment vertical="top"/>
    </xf>
    <xf numFmtId="22" fontId="0" fillId="0" borderId="0" xfId="0" applyNumberFormat="1" applyProtection="1"/>
    <xf numFmtId="4" fontId="0" fillId="0" borderId="0" xfId="0" applyNumberFormat="1" applyProtection="1"/>
    <xf numFmtId="4" fontId="0" fillId="0" borderId="0" xfId="0" applyNumberFormat="1"/>
    <xf numFmtId="0" fontId="0" fillId="0" borderId="0" xfId="0" quotePrefix="1"/>
    <xf numFmtId="0" fontId="26" fillId="29" borderId="0" xfId="0" quotePrefix="1" applyFont="1" applyFill="1" applyBorder="1"/>
    <xf numFmtId="0" fontId="26" fillId="29" borderId="23" xfId="0" quotePrefix="1" applyFont="1" applyFill="1" applyBorder="1"/>
    <xf numFmtId="4" fontId="26" fillId="29" borderId="23" xfId="0" quotePrefix="1" applyNumberFormat="1" applyFont="1" applyFill="1" applyBorder="1"/>
    <xf numFmtId="0" fontId="26" fillId="0" borderId="0" xfId="0" quotePrefix="1" applyFont="1" applyFill="1" applyBorder="1"/>
    <xf numFmtId="4" fontId="26" fillId="0" borderId="0" xfId="0" quotePrefix="1" applyNumberFormat="1" applyFont="1" applyFill="1" applyBorder="1"/>
    <xf numFmtId="4" fontId="0" fillId="0" borderId="0" xfId="0" applyNumberFormat="1" applyFill="1" applyBorder="1" applyProtection="1"/>
    <xf numFmtId="0" fontId="0" fillId="0" borderId="0" xfId="0" applyFill="1"/>
    <xf numFmtId="0" fontId="0" fillId="0" borderId="0" xfId="0" quotePrefix="1" applyFill="1"/>
    <xf numFmtId="0" fontId="44" fillId="0" borderId="0" xfId="0" quotePrefix="1" applyFont="1" applyBorder="1" applyAlignment="1" applyProtection="1">
      <alignment horizontal="right" vertical="center"/>
    </xf>
    <xf numFmtId="0" fontId="44" fillId="0" borderId="0" xfId="0" quotePrefix="1" applyFont="1" applyBorder="1" applyAlignment="1" applyProtection="1">
      <alignment horizontal="center" vertical="center"/>
    </xf>
    <xf numFmtId="0" fontId="0" fillId="0" borderId="0" xfId="0" applyAlignment="1" applyProtection="1"/>
    <xf numFmtId="0" fontId="4" fillId="0" borderId="0" xfId="0" applyFont="1" applyAlignment="1" applyProtection="1">
      <alignment horizontal="left" vertical="center"/>
    </xf>
    <xf numFmtId="0" fontId="8" fillId="0" borderId="0" xfId="0" quotePrefix="1" applyFont="1" applyBorder="1" applyAlignment="1" applyProtection="1">
      <alignment vertical="center"/>
    </xf>
    <xf numFmtId="0" fontId="2" fillId="0" borderId="0" xfId="0" applyFont="1" applyProtection="1"/>
    <xf numFmtId="0" fontId="47" fillId="0" borderId="0" xfId="0" applyFont="1" applyBorder="1" applyAlignment="1" applyProtection="1"/>
    <xf numFmtId="0" fontId="47" fillId="0" borderId="0" xfId="0" applyFont="1" applyFill="1" applyBorder="1" applyAlignment="1" applyProtection="1">
      <alignment horizontal="right"/>
    </xf>
    <xf numFmtId="0" fontId="2" fillId="0" borderId="0" xfId="0" applyFont="1" applyAlignment="1" applyProtection="1"/>
    <xf numFmtId="0" fontId="2" fillId="0" borderId="0" xfId="0" applyFont="1" applyFill="1" applyProtection="1"/>
    <xf numFmtId="0" fontId="0" fillId="0" borderId="0" xfId="0" applyFill="1" applyProtection="1"/>
    <xf numFmtId="0" fontId="48" fillId="0" borderId="0" xfId="0" applyFont="1" applyFill="1" applyProtection="1"/>
    <xf numFmtId="3" fontId="49" fillId="0" borderId="0" xfId="0" applyNumberFormat="1" applyFont="1" applyFill="1" applyProtection="1"/>
    <xf numFmtId="0" fontId="49" fillId="0" borderId="0" xfId="0" applyFont="1" applyFill="1" applyProtection="1"/>
    <xf numFmtId="0" fontId="34" fillId="0" borderId="0" xfId="0" quotePrefix="1" applyFont="1" applyBorder="1" applyAlignment="1" applyProtection="1">
      <alignment horizontal="right" wrapText="1"/>
    </xf>
    <xf numFmtId="3" fontId="29" fillId="0" borderId="12" xfId="67" quotePrefix="1" applyNumberFormat="1" applyFill="1" applyBorder="1" applyAlignment="1">
      <alignment horizontal="right" vertical="center"/>
    </xf>
    <xf numFmtId="10" fontId="29" fillId="0" borderId="0" xfId="99" applyNumberFormat="1" applyFont="1" applyBorder="1" applyAlignment="1">
      <alignment horizontal="left"/>
    </xf>
    <xf numFmtId="0" fontId="50" fillId="0" borderId="0" xfId="32" applyFont="1" applyFill="1" applyBorder="1" applyAlignment="1"/>
    <xf numFmtId="3" fontId="0" fillId="0" borderId="0" xfId="0" applyNumberFormat="1"/>
    <xf numFmtId="0" fontId="28" fillId="0" borderId="0" xfId="51" applyNumberFormat="1" applyFont="1" applyFill="1" applyBorder="1" applyAlignment="1">
      <alignment horizontal="left"/>
    </xf>
    <xf numFmtId="0" fontId="28" fillId="0" borderId="0" xfId="51" quotePrefix="1" applyNumberFormat="1" applyFont="1" applyBorder="1" applyAlignment="1">
      <alignment horizontal="left" vertical="center" wrapText="1"/>
    </xf>
    <xf numFmtId="22" fontId="26" fillId="0" borderId="0" xfId="0" applyNumberFormat="1" applyFont="1" applyAlignment="1">
      <alignment horizontal="left"/>
    </xf>
    <xf numFmtId="0" fontId="5" fillId="0" borderId="0" xfId="54" applyFont="1" applyFill="1" applyBorder="1" applyAlignment="1">
      <alignment horizontal="center" vertical="center" wrapText="1"/>
    </xf>
    <xf numFmtId="0" fontId="46" fillId="0" borderId="0" xfId="0" quotePrefix="1" applyFont="1" applyBorder="1" applyAlignment="1">
      <alignment horizontal="center" vertical="center" wrapText="1"/>
    </xf>
    <xf numFmtId="0" fontId="31" fillId="0" borderId="0" xfId="0" quotePrefix="1" applyFont="1" applyAlignment="1" applyProtection="1">
      <alignment horizontal="left"/>
    </xf>
    <xf numFmtId="0" fontId="45" fillId="0" borderId="0" xfId="0" quotePrefix="1" applyFont="1" applyBorder="1" applyAlignment="1" applyProtection="1">
      <alignment vertical="center"/>
    </xf>
    <xf numFmtId="0" fontId="28" fillId="0" borderId="21" xfId="54" quotePrefix="1" applyFill="1" applyBorder="1" applyAlignment="1">
      <alignment horizontal="center" vertical="center" wrapText="1"/>
    </xf>
    <xf numFmtId="0" fontId="28" fillId="0" borderId="19" xfId="54" quotePrefix="1" applyFill="1" applyBorder="1" applyAlignment="1">
      <alignment horizontal="center" vertical="center" wrapText="1"/>
    </xf>
    <xf numFmtId="0" fontId="28" fillId="0" borderId="22" xfId="54" quotePrefix="1" applyFill="1" applyBorder="1" applyAlignment="1">
      <alignment horizontal="center" vertical="center" wrapText="1"/>
    </xf>
    <xf numFmtId="0" fontId="44" fillId="0" borderId="0" xfId="0" quotePrefix="1" applyFont="1" applyAlignment="1" applyProtection="1">
      <alignment horizontal="right" vertical="center"/>
    </xf>
  </cellXfs>
  <cellStyles count="100">
    <cellStyle name="%0." xfId="47"/>
    <cellStyle name="%0.0" xfId="74"/>
    <cellStyle name="%0.00" xfId="48"/>
    <cellStyle name="20% - Accent1" xfId="35" builtinId="30" customBuiltin="1"/>
    <cellStyle name="20% - Accent2" xfId="37" builtinId="34" customBuiltin="1"/>
    <cellStyle name="20% - Accent3" xfId="39" builtinId="38" customBuiltin="1"/>
    <cellStyle name="20% - Accent4" xfId="41" builtinId="42" customBuiltin="1"/>
    <cellStyle name="20% - Accent5" xfId="43" builtinId="46" customBuiltin="1"/>
    <cellStyle name="20% - Accent6" xfId="45" builtinId="50" customBuiltin="1"/>
    <cellStyle name="20% - Colore 7" xfId="8"/>
    <cellStyle name="40% - Accent1" xfId="36" builtinId="31" customBuiltin="1"/>
    <cellStyle name="40% - Accent2" xfId="38" builtinId="35" customBuiltin="1"/>
    <cellStyle name="40% - Accent3" xfId="40" builtinId="39" customBuiltin="1"/>
    <cellStyle name="40% - Accent4" xfId="42" builtinId="43" customBuiltin="1"/>
    <cellStyle name="40% - Accent5" xfId="44" builtinId="47" customBuiltin="1"/>
    <cellStyle name="40% - Accent6" xfId="46" builtinId="51" customBuiltin="1"/>
    <cellStyle name="ACT" xfId="49"/>
    <cellStyle name="Alighment Center" xfId="83"/>
    <cellStyle name="Alighment Left" xfId="84"/>
    <cellStyle name="Alignment H&amp;V center" xfId="95"/>
    <cellStyle name="Amounts left nolocked" xfId="50"/>
    <cellStyle name="Amounts w/ 2 Decimals" xfId="90"/>
    <cellStyle name="Amounts_Board" xfId="51"/>
    <cellStyle name="Amounts-1000" xfId="75"/>
    <cellStyle name="BDG" xfId="52"/>
    <cellStyle name="Blank" xfId="9"/>
    <cellStyle name="Blank_Row" xfId="94"/>
    <cellStyle name="blue" xfId="10"/>
    <cellStyle name="Body" xfId="11"/>
    <cellStyle name="Bold" xfId="6"/>
    <cellStyle name="Bold 2" xfId="34"/>
    <cellStyle name="Bold+Italic" xfId="96"/>
    <cellStyle name="Border_total" xfId="12"/>
    <cellStyle name="C_Amount_ACT" xfId="53"/>
    <cellStyle name="C_Head" xfId="54"/>
    <cellStyle name="Currency" xfId="81" builtinId="4" customBuiltin="1"/>
    <cellStyle name="Currency [0]" xfId="82" builtinId="7" customBuiltin="1"/>
    <cellStyle name="Data(USA)" xfId="79"/>
    <cellStyle name="Date" xfId="13"/>
    <cellStyle name="Fill light blue" xfId="85"/>
    <cellStyle name="Font 11 Tahoma" xfId="86"/>
    <cellStyle name="Font 11 Tahoma bold" xfId="87"/>
    <cellStyle name="Font_big" xfId="14"/>
    <cellStyle name="Formula" xfId="55"/>
    <cellStyle name="formula2_fond" xfId="15"/>
    <cellStyle name="Formula3" xfId="7"/>
    <cellStyle name="FST description blank" xfId="56"/>
    <cellStyle name="Group_Color" xfId="16"/>
    <cellStyle name="Head_left" xfId="57"/>
    <cellStyle name="Header" xfId="2"/>
    <cellStyle name="Header 2" xfId="33"/>
    <cellStyle name="Header_border" xfId="3"/>
    <cellStyle name="Hyperlink" xfId="32" builtinId="8" customBuiltin="1"/>
    <cellStyle name="Hyperlink for amounts" xfId="73"/>
    <cellStyle name="Hyperlnk row header underlined bold" xfId="58"/>
    <cellStyle name="Indent_1" xfId="17"/>
    <cellStyle name="Left_align" xfId="18"/>
    <cellStyle name="Matrix_Title" xfId="19"/>
    <cellStyle name="Middle Headers Centered" xfId="59"/>
    <cellStyle name="Normal" xfId="0" builtinId="0" customBuiltin="1"/>
    <cellStyle name="Normal 2" xfId="1"/>
    <cellStyle name="Num 2 decimal" xfId="20"/>
    <cellStyle name="Perc 1 decimal" xfId="21"/>
    <cellStyle name="Perc 2 decimal" xfId="5"/>
    <cellStyle name="Percent" xfId="99" builtinId="5"/>
    <cellStyle name="Percentage" xfId="22"/>
    <cellStyle name="Place_header" xfId="23"/>
    <cellStyle name="Placeholder" xfId="60"/>
    <cellStyle name="Placeholder Header Underlined bold" xfId="76"/>
    <cellStyle name="Placeholder_column_blank" xfId="61"/>
    <cellStyle name="Placeholder_Header" xfId="93"/>
    <cellStyle name="prova colore" xfId="24"/>
    <cellStyle name="R_Area_font" xfId="62"/>
    <cellStyle name="R_AREA_FONT_UC" xfId="88"/>
    <cellStyle name="R_formula" xfId="63"/>
    <cellStyle name="R_head_font" xfId="64"/>
    <cellStyle name="Right_align" xfId="4"/>
    <cellStyle name="Row Header" xfId="25"/>
    <cellStyle name="Status" xfId="26"/>
    <cellStyle name="Status Check" xfId="77"/>
    <cellStyle name="Subtotal" xfId="27"/>
    <cellStyle name="Subtotal Amounts row fill" xfId="65"/>
    <cellStyle name="Subtotal head row fill" xfId="66"/>
    <cellStyle name="Subtotal_amounts" xfId="67"/>
    <cellStyle name="Subtotal_head" xfId="68"/>
    <cellStyle name="test" xfId="28"/>
    <cellStyle name="Text" xfId="29"/>
    <cellStyle name="TGK_TOC_PAGE_COLUMN" xfId="80"/>
    <cellStyle name="Title" xfId="89" builtinId="15" customBuiltin="1"/>
    <cellStyle name="Total_amounts" xfId="69"/>
    <cellStyle name="Total_Amounts_Margin" xfId="78"/>
    <cellStyle name="Total_head" xfId="70"/>
    <cellStyle name="Total_Headers_Margin" xfId="71"/>
    <cellStyle name="Visual Check" xfId="97"/>
    <cellStyle name="Webdings" xfId="91"/>
    <cellStyle name="Webdings1" xfId="98"/>
    <cellStyle name="Webdings14" xfId="92"/>
    <cellStyle name="Work new book placeholder header underlined" xfId="72"/>
    <cellStyle name="Wrap_text" xfId="30"/>
    <cellStyle name="yellow" xfId="3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cap="none" spc="5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en-US" sz="1400" b="0" i="0" u="none" strike="noStrike" kern="1200" cap="none" spc="5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Monthly Trends</a:t>
            </a:r>
          </a:p>
        </c:rich>
      </c:tx>
      <c:layout>
        <c:manualLayout>
          <c:xMode val="edge"/>
          <c:yMode val="edge"/>
          <c:x val="0.37323250040009709"/>
          <c:y val="6.63670273821628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PL!$AA$8:$AB$8</c:f>
              <c:strCache>
                <c:ptCount val="1"/>
                <c:pt idx="0">
                  <c:v>Budget Scenario Total Gross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PL!$AC$8:$AN$8</c:f>
              <c:numCache>
                <c:formatCode>#,##0</c:formatCode>
                <c:ptCount val="1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PL!$AA$11:$AB$11</c:f>
              <c:strCache>
                <c:ptCount val="1"/>
                <c:pt idx="0">
                  <c:v>Budget Scenario (ref3) Total Gross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PL!$AC$11:$AN$11</c:f>
              <c:numCache>
                <c:formatCode>#,##0</c:formatCode>
                <c:ptCount val="12"/>
                <c:pt idx="0">
                  <c:v>-1001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107840"/>
        <c:axId val="280773376"/>
      </c:lineChart>
      <c:catAx>
        <c:axId val="27910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73376"/>
        <c:crosses val="autoZero"/>
        <c:auto val="1"/>
        <c:lblAlgn val="ctr"/>
        <c:lblOffset val="100"/>
        <c:noMultiLvlLbl val="0"/>
      </c:catAx>
      <c:valAx>
        <c:axId val="280773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10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cap="none" spc="5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en-US" sz="1400" b="0" i="0" u="none" strike="noStrike" kern="1200" cap="none" spc="5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Budget Variance Monthly</a:t>
            </a:r>
          </a:p>
        </c:rich>
      </c:tx>
      <c:layout>
        <c:manualLayout>
          <c:xMode val="edge"/>
          <c:yMode val="edge"/>
          <c:x val="0.25347925918542885"/>
          <c:y val="2.950088556003668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871583035242958E-2"/>
          <c:y val="0.17854742242585531"/>
          <c:w val="0.84176915253736728"/>
          <c:h val="0.53497238150109294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PL!$AB$14</c:f>
              <c:strCache>
                <c:ptCount val="1"/>
                <c:pt idx="0">
                  <c:v>Total Gross Sales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</c:dPt>
          <c:dPt>
            <c:idx val="11"/>
            <c:invertIfNegative val="0"/>
            <c:bubble3D val="0"/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5"/>
            <c:invertIfNegative val="0"/>
            <c:bubble3D val="0"/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</c:dPt>
          <c:dPt>
            <c:idx val="18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2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4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dPt>
            <c:idx val="27"/>
            <c:invertIfNegative val="0"/>
            <c:bubble3D val="0"/>
          </c:dPt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PL!$AC$14:$AN$14</c:f>
              <c:numCache>
                <c:formatCode>#,##0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/>
        </c:ser>
        <c:ser>
          <c:idx val="0"/>
          <c:order val="1"/>
          <c:tx>
            <c:strRef>
              <c:f>PL!$AB$15</c:f>
              <c:strCache>
                <c:ptCount val="1"/>
                <c:pt idx="0">
                  <c:v>Net Margin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PL!$AC$15:$AN$15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2"/>
          <c:tx>
            <c:strRef>
              <c:f>PL!$AB$16</c:f>
              <c:strCache>
                <c:ptCount val="1"/>
                <c:pt idx="0">
                  <c:v>Net Result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PL!$AC$16:$AN$16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799488"/>
        <c:axId val="280801280"/>
      </c:barChart>
      <c:catAx>
        <c:axId val="28079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801280"/>
        <c:crosses val="autoZero"/>
        <c:auto val="1"/>
        <c:lblAlgn val="ctr"/>
        <c:lblOffset val="100"/>
        <c:noMultiLvlLbl val="0"/>
      </c:catAx>
      <c:valAx>
        <c:axId val="2808012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9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5638</xdr:colOff>
      <xdr:row>0</xdr:row>
      <xdr:rowOff>15500</xdr:rowOff>
    </xdr:from>
    <xdr:to>
      <xdr:col>1</xdr:col>
      <xdr:colOff>650398</xdr:colOff>
      <xdr:row>4</xdr:row>
      <xdr:rowOff>52606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" y="15500"/>
          <a:ext cx="844785" cy="303806"/>
        </a:xfrm>
        <a:prstGeom prst="rect">
          <a:avLst/>
        </a:prstGeom>
      </xdr:spPr>
    </xdr:pic>
    <xdr:clientData/>
  </xdr:twoCellAnchor>
  <xdr:twoCellAnchor>
    <xdr:from>
      <xdr:col>7</xdr:col>
      <xdr:colOff>477191</xdr:colOff>
      <xdr:row>5</xdr:row>
      <xdr:rowOff>73890</xdr:rowOff>
    </xdr:from>
    <xdr:to>
      <xdr:col>16</xdr:col>
      <xdr:colOff>461727</xdr:colOff>
      <xdr:row>18</xdr:row>
      <xdr:rowOff>99590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2921</xdr:colOff>
      <xdr:row>19</xdr:row>
      <xdr:rowOff>166261</xdr:rowOff>
    </xdr:from>
    <xdr:to>
      <xdr:col>17</xdr:col>
      <xdr:colOff>1038</xdr:colOff>
      <xdr:row>34</xdr:row>
      <xdr:rowOff>47012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103930</xdr:colOff>
      <xdr:row>0</xdr:row>
      <xdr:rowOff>28886</xdr:rowOff>
    </xdr:from>
    <xdr:to>
      <xdr:col>2</xdr:col>
      <xdr:colOff>886220</xdr:colOff>
      <xdr:row>1</xdr:row>
      <xdr:rowOff>26218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30" y="28886"/>
          <a:ext cx="918092" cy="305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108642</xdr:colOff>
      <xdr:row>0</xdr:row>
      <xdr:rowOff>0</xdr:rowOff>
    </xdr:from>
    <xdr:to>
      <xdr:col>1</xdr:col>
      <xdr:colOff>1107919</xdr:colOff>
      <xdr:row>1</xdr:row>
      <xdr:rowOff>63280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37" y="0"/>
          <a:ext cx="999277" cy="325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108641</xdr:colOff>
      <xdr:row>0</xdr:row>
      <xdr:rowOff>36214</xdr:rowOff>
    </xdr:from>
    <xdr:to>
      <xdr:col>2</xdr:col>
      <xdr:colOff>276386</xdr:colOff>
      <xdr:row>2</xdr:row>
      <xdr:rowOff>45306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22" y="36214"/>
          <a:ext cx="801488" cy="3078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5" x14ac:dyDescent="0.25"/>
  <sheetData>
    <row r="1" spans="1:2" x14ac:dyDescent="0.25">
      <c r="A1" t="s">
        <v>0</v>
      </c>
      <c r="B1">
        <f>PL!A65512</f>
        <v>0</v>
      </c>
    </row>
    <row r="2" spans="1:2" x14ac:dyDescent="0.25">
      <c r="A2" t="s">
        <v>16</v>
      </c>
      <c r="B2">
        <f>CF!A65532</f>
        <v>0</v>
      </c>
    </row>
    <row r="4" spans="1:2" x14ac:dyDescent="0.25">
      <c r="A4" t="s">
        <v>102</v>
      </c>
      <c r="B4">
        <f>'Comp. Analysis'!A65537</f>
        <v>0</v>
      </c>
    </row>
    <row r="5" spans="1:2" x14ac:dyDescent="0.25">
      <c r="A5" t="s">
        <v>134</v>
      </c>
      <c r="B5">
        <f>BS!A65530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Y69"/>
  <sheetViews>
    <sheetView showGridLines="0" showRowColHeaders="0" showZeros="0" tabSelected="1" zoomScaleNormal="100" workbookViewId="0">
      <selection activeCell="AC12" sqref="AC12"/>
    </sheetView>
  </sheetViews>
  <sheetFormatPr defaultRowHeight="15" outlineLevelRow="1" x14ac:dyDescent="0.25"/>
  <cols>
    <col min="1" max="1" width="3" customWidth="1"/>
    <col min="2" max="2" width="36.42578125" customWidth="1"/>
    <col min="3" max="3" width="18.5703125" customWidth="1"/>
    <col min="4" max="4" width="18.85546875" style="4" customWidth="1"/>
    <col min="5" max="5" width="1.42578125" style="4" customWidth="1"/>
    <col min="6" max="7" width="13.42578125" style="4" customWidth="1"/>
    <col min="8" max="8" width="9.28515625" customWidth="1"/>
    <col min="9" max="9" width="14.42578125" customWidth="1"/>
    <col min="11" max="11" width="12.140625" customWidth="1"/>
    <col min="12" max="12" width="1.42578125" customWidth="1"/>
    <col min="19" max="32" width="9.140625" customWidth="1"/>
  </cols>
  <sheetData>
    <row r="1" spans="1:51" ht="21.4" customHeight="1" collapsed="1" x14ac:dyDescent="0.25">
      <c r="A1" s="1"/>
      <c r="B1" s="59" t="s">
        <v>167</v>
      </c>
      <c r="C1" s="1"/>
      <c r="D1" s="2"/>
      <c r="E1" s="2"/>
      <c r="F1" s="44" t="s">
        <v>122</v>
      </c>
      <c r="G1" s="74">
        <f>C24/C9</f>
        <v>-4</v>
      </c>
      <c r="H1" s="75" t="str">
        <f>IF(G1&gt;73.2%,"x","")</f>
        <v/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51" ht="23.65" hidden="1" customHeight="1" outlineLevel="1" x14ac:dyDescent="0.25">
      <c r="A2" s="3"/>
      <c r="B2" s="78" t="s">
        <v>136</v>
      </c>
      <c r="C2" s="78"/>
      <c r="D2" s="30"/>
      <c r="G2" s="3"/>
      <c r="H2" s="3"/>
      <c r="I2" s="3"/>
      <c r="J2" s="3"/>
      <c r="K2" s="3"/>
      <c r="L2" s="3"/>
      <c r="M2" s="3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51" ht="23.65" hidden="1" customHeight="1" outlineLevel="1" x14ac:dyDescent="0.25">
      <c r="A3" s="1"/>
      <c r="B3" s="78" t="s">
        <v>20</v>
      </c>
      <c r="C3" s="78"/>
      <c r="D3" s="24"/>
      <c r="E3" s="24"/>
      <c r="F3" s="2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51" ht="13.5" hidden="1" customHeight="1" x14ac:dyDescent="0.25">
      <c r="A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51" ht="5.6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51" ht="23.85" customHeight="1" thickBot="1" x14ac:dyDescent="0.3">
      <c r="A6" s="1"/>
      <c r="C6" s="14" t="s">
        <v>40</v>
      </c>
      <c r="D6" s="14" t="s">
        <v>101</v>
      </c>
      <c r="E6" s="15"/>
      <c r="F6" s="14" t="s">
        <v>120</v>
      </c>
      <c r="G6" s="14" t="s">
        <v>121</v>
      </c>
      <c r="H6" s="1"/>
      <c r="I6" s="80"/>
      <c r="J6" s="80"/>
      <c r="K6" s="80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51" ht="16.7" thickTop="1" thickBot="1" x14ac:dyDescent="0.3">
      <c r="A7" s="1"/>
      <c r="B7" s="16" t="s">
        <v>143</v>
      </c>
      <c r="C7" s="17">
        <v>-1000</v>
      </c>
      <c r="D7" s="17">
        <v>-1000</v>
      </c>
      <c r="E7" s="18"/>
      <c r="F7" s="17">
        <f>C7-D7</f>
        <v>0</v>
      </c>
      <c r="G7" s="27">
        <f t="shared" ref="G7:G34" si="0">IF(D7=0,0,((C7-D7)/ABS(D7)))</f>
        <v>0</v>
      </c>
      <c r="H7" s="1"/>
      <c r="I7" s="32"/>
      <c r="J7" s="33"/>
      <c r="K7" s="33"/>
      <c r="L7" s="1"/>
      <c r="M7" s="5"/>
      <c r="N7" s="1"/>
      <c r="O7" s="1"/>
      <c r="P7" s="1"/>
      <c r="Q7" s="1"/>
      <c r="R7" s="1"/>
      <c r="AB7" s="49"/>
      <c r="AC7" s="14" t="s">
        <v>158</v>
      </c>
      <c r="AD7" s="14" t="s">
        <v>159</v>
      </c>
      <c r="AE7" s="14" t="s">
        <v>22</v>
      </c>
      <c r="AF7" s="14" t="s">
        <v>160</v>
      </c>
      <c r="AG7" s="14" t="s">
        <v>161</v>
      </c>
      <c r="AH7" s="14" t="s">
        <v>103</v>
      </c>
      <c r="AI7" s="14" t="s">
        <v>162</v>
      </c>
      <c r="AJ7" s="14" t="s">
        <v>163</v>
      </c>
      <c r="AK7" s="14" t="s">
        <v>104</v>
      </c>
      <c r="AL7" s="14" t="s">
        <v>164</v>
      </c>
      <c r="AM7" s="14" t="s">
        <v>165</v>
      </c>
      <c r="AN7" s="14" t="s">
        <v>105</v>
      </c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</row>
    <row r="8" spans="1:51" ht="15.75" thickTop="1" x14ac:dyDescent="0.25">
      <c r="A8" s="1"/>
      <c r="B8" s="16" t="s">
        <v>144</v>
      </c>
      <c r="C8" s="17">
        <v>-1000</v>
      </c>
      <c r="D8" s="17">
        <v>-1000</v>
      </c>
      <c r="E8" s="18"/>
      <c r="F8" s="17">
        <f>C8-D8</f>
        <v>0</v>
      </c>
      <c r="G8" s="27">
        <f t="shared" si="0"/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AA8" s="22" t="s">
        <v>40</v>
      </c>
      <c r="AB8" s="22" t="s">
        <v>145</v>
      </c>
      <c r="AC8" s="73">
        <v>-1000</v>
      </c>
      <c r="AD8" s="73">
        <v>-1000</v>
      </c>
      <c r="AE8" s="73">
        <v>-1000</v>
      </c>
      <c r="AF8" s="73">
        <v>-1000</v>
      </c>
      <c r="AG8" s="73">
        <v>-1000</v>
      </c>
      <c r="AH8" s="73">
        <v>-1000</v>
      </c>
      <c r="AI8" s="73">
        <v>-1000</v>
      </c>
      <c r="AJ8" s="73">
        <v>-1000</v>
      </c>
      <c r="AK8" s="73">
        <v>-1000</v>
      </c>
      <c r="AL8" s="73">
        <v>-1000</v>
      </c>
      <c r="AM8" s="73">
        <v>-1000</v>
      </c>
      <c r="AN8" s="73">
        <v>-1000</v>
      </c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</row>
    <row r="9" spans="1:51" x14ac:dyDescent="0.25">
      <c r="A9" s="1"/>
      <c r="B9" s="22" t="s">
        <v>145</v>
      </c>
      <c r="C9" s="19">
        <f>C7+C8</f>
        <v>-2000</v>
      </c>
      <c r="D9" s="19">
        <f>D7+D8</f>
        <v>-2000</v>
      </c>
      <c r="E9" s="20"/>
      <c r="F9" s="19">
        <f>F7+F8</f>
        <v>0</v>
      </c>
      <c r="G9" s="28">
        <f t="shared" si="0"/>
        <v>0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AA9" s="22" t="s">
        <v>40</v>
      </c>
      <c r="AB9" s="22" t="s">
        <v>149</v>
      </c>
      <c r="AC9" s="19">
        <v>-1000</v>
      </c>
      <c r="AD9" s="19">
        <v>-1000</v>
      </c>
      <c r="AE9" s="19">
        <v>-1000</v>
      </c>
      <c r="AF9" s="19">
        <v>-1000</v>
      </c>
      <c r="AG9" s="19">
        <v>-1000</v>
      </c>
      <c r="AH9" s="19">
        <v>-1000</v>
      </c>
      <c r="AI9" s="19">
        <v>-1000</v>
      </c>
      <c r="AJ9" s="19">
        <v>-1000</v>
      </c>
      <c r="AK9" s="19">
        <v>-1000</v>
      </c>
      <c r="AL9" s="19">
        <v>-1000</v>
      </c>
      <c r="AM9" s="19">
        <v>-1000</v>
      </c>
      <c r="AN9" s="19">
        <v>-1000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</row>
    <row r="10" spans="1:51" x14ac:dyDescent="0.25">
      <c r="A10" s="1"/>
      <c r="B10" s="16" t="s">
        <v>24</v>
      </c>
      <c r="C10" s="17">
        <v>1000</v>
      </c>
      <c r="D10" s="17">
        <v>1000</v>
      </c>
      <c r="E10" s="18"/>
      <c r="F10" s="17">
        <f>C10-D10</f>
        <v>0</v>
      </c>
      <c r="G10" s="27">
        <f t="shared" si="0"/>
        <v>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AA10" s="22" t="s">
        <v>40</v>
      </c>
      <c r="AB10" s="22" t="s">
        <v>17</v>
      </c>
      <c r="AC10" s="19">
        <v>-1000</v>
      </c>
      <c r="AD10" s="19">
        <v>-1000</v>
      </c>
      <c r="AE10" s="19">
        <v>-1000</v>
      </c>
      <c r="AF10" s="19">
        <v>-1000</v>
      </c>
      <c r="AG10" s="19">
        <v>-1000</v>
      </c>
      <c r="AH10" s="19">
        <v>-1000</v>
      </c>
      <c r="AI10" s="19">
        <v>-1000</v>
      </c>
      <c r="AJ10" s="19">
        <v>-1000</v>
      </c>
      <c r="AK10" s="19">
        <v>-1000</v>
      </c>
      <c r="AL10" s="19">
        <v>-1000</v>
      </c>
      <c r="AM10" s="19">
        <v>-1000</v>
      </c>
      <c r="AN10" s="19">
        <v>-1000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</row>
    <row r="11" spans="1:51" x14ac:dyDescent="0.25">
      <c r="A11" s="1"/>
      <c r="B11" s="22" t="s">
        <v>146</v>
      </c>
      <c r="C11" s="19">
        <f>-(C10-C9)</f>
        <v>-3000</v>
      </c>
      <c r="D11" s="19">
        <f>-(D10-D9)</f>
        <v>-3000</v>
      </c>
      <c r="E11" s="20"/>
      <c r="F11" s="19">
        <f>-(F10-F9)</f>
        <v>0</v>
      </c>
      <c r="G11" s="28">
        <f t="shared" si="0"/>
        <v>0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22" t="s">
        <v>101</v>
      </c>
      <c r="AB11" s="22" t="s">
        <v>145</v>
      </c>
      <c r="AC11" s="19">
        <v>-1001</v>
      </c>
      <c r="AD11" s="19">
        <v>-1000</v>
      </c>
      <c r="AE11" s="19">
        <v>-1000</v>
      </c>
      <c r="AF11" s="19">
        <v>-1000</v>
      </c>
      <c r="AG11" s="19">
        <v>-1000</v>
      </c>
      <c r="AH11" s="19">
        <v>-1000</v>
      </c>
      <c r="AI11" s="19">
        <v>-1000</v>
      </c>
      <c r="AJ11" s="19">
        <v>-1000</v>
      </c>
      <c r="AK11" s="19">
        <v>-1000</v>
      </c>
      <c r="AL11" s="19">
        <v>-1000</v>
      </c>
      <c r="AM11" s="19">
        <v>-1000</v>
      </c>
      <c r="AN11" s="19">
        <v>-1000</v>
      </c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</row>
    <row r="12" spans="1:51" x14ac:dyDescent="0.25">
      <c r="A12" s="1"/>
      <c r="B12" s="16" t="s">
        <v>25</v>
      </c>
      <c r="C12" s="17">
        <v>1000</v>
      </c>
      <c r="D12" s="17">
        <v>1000</v>
      </c>
      <c r="E12" s="18"/>
      <c r="F12" s="17">
        <f>C12-D12</f>
        <v>0</v>
      </c>
      <c r="G12" s="27">
        <f t="shared" si="0"/>
        <v>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22" t="s">
        <v>101</v>
      </c>
      <c r="AB12" s="22" t="s">
        <v>149</v>
      </c>
      <c r="AC12" s="19">
        <v>-1000</v>
      </c>
      <c r="AD12" s="19">
        <v>-1000</v>
      </c>
      <c r="AE12" s="19">
        <v>-1000</v>
      </c>
      <c r="AF12" s="19">
        <v>-1000</v>
      </c>
      <c r="AG12" s="19">
        <v>-1000</v>
      </c>
      <c r="AH12" s="19">
        <v>-1000</v>
      </c>
      <c r="AI12" s="19">
        <v>-1000</v>
      </c>
      <c r="AJ12" s="19">
        <v>-1000</v>
      </c>
      <c r="AK12" s="19">
        <v>-1000</v>
      </c>
      <c r="AL12" s="19">
        <v>-1000</v>
      </c>
      <c r="AM12" s="19">
        <v>-1000</v>
      </c>
      <c r="AN12" s="19">
        <v>-1000</v>
      </c>
    </row>
    <row r="13" spans="1:51" x14ac:dyDescent="0.25">
      <c r="A13" s="1"/>
      <c r="B13" s="16" t="s">
        <v>26</v>
      </c>
      <c r="C13" s="17">
        <v>1000</v>
      </c>
      <c r="D13" s="17">
        <v>1000</v>
      </c>
      <c r="E13" s="18"/>
      <c r="F13" s="17">
        <f>C13-D13</f>
        <v>0</v>
      </c>
      <c r="G13" s="27">
        <f t="shared" si="0"/>
        <v>0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22" t="s">
        <v>101</v>
      </c>
      <c r="AB13" s="22" t="s">
        <v>17</v>
      </c>
      <c r="AC13" s="19">
        <v>-1000</v>
      </c>
      <c r="AD13" s="19">
        <v>-1000</v>
      </c>
      <c r="AE13" s="19">
        <v>-1000</v>
      </c>
      <c r="AF13" s="19">
        <v>-1000</v>
      </c>
      <c r="AG13" s="19">
        <v>-1000</v>
      </c>
      <c r="AH13" s="19">
        <v>-1000</v>
      </c>
      <c r="AI13" s="19">
        <v>-1000</v>
      </c>
      <c r="AJ13" s="19">
        <v>-1000</v>
      </c>
      <c r="AK13" s="19">
        <v>-1000</v>
      </c>
      <c r="AL13" s="19">
        <v>-1000</v>
      </c>
      <c r="AM13" s="19">
        <v>-1000</v>
      </c>
      <c r="AN13" s="19">
        <v>-1000</v>
      </c>
    </row>
    <row r="14" spans="1:51" x14ac:dyDescent="0.25">
      <c r="A14" s="1"/>
      <c r="B14" s="22" t="s">
        <v>27</v>
      </c>
      <c r="C14" s="19">
        <f>C12+C13</f>
        <v>2000</v>
      </c>
      <c r="D14" s="19">
        <f>D12+D13</f>
        <v>2000</v>
      </c>
      <c r="E14" s="20"/>
      <c r="F14" s="19">
        <f>F12+F13</f>
        <v>0</v>
      </c>
      <c r="G14" s="28">
        <f t="shared" si="0"/>
        <v>0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6" t="s">
        <v>166</v>
      </c>
      <c r="AB14" s="16" t="s">
        <v>145</v>
      </c>
      <c r="AC14" s="17">
        <f t="shared" ref="AC14:AN14" si="1">AC8-AC11</f>
        <v>1</v>
      </c>
      <c r="AD14" s="17">
        <f t="shared" si="1"/>
        <v>0</v>
      </c>
      <c r="AE14" s="17">
        <f t="shared" si="1"/>
        <v>0</v>
      </c>
      <c r="AF14" s="17">
        <f t="shared" si="1"/>
        <v>0</v>
      </c>
      <c r="AG14" s="17">
        <f t="shared" si="1"/>
        <v>0</v>
      </c>
      <c r="AH14" s="17">
        <f t="shared" si="1"/>
        <v>0</v>
      </c>
      <c r="AI14" s="17">
        <f t="shared" si="1"/>
        <v>0</v>
      </c>
      <c r="AJ14" s="17">
        <f t="shared" si="1"/>
        <v>0</v>
      </c>
      <c r="AK14" s="17">
        <f t="shared" si="1"/>
        <v>0</v>
      </c>
      <c r="AL14" s="17">
        <f t="shared" si="1"/>
        <v>0</v>
      </c>
      <c r="AM14" s="17">
        <f t="shared" si="1"/>
        <v>0</v>
      </c>
      <c r="AN14" s="17">
        <f t="shared" si="1"/>
        <v>0</v>
      </c>
    </row>
    <row r="15" spans="1:51" x14ac:dyDescent="0.25">
      <c r="A15" s="1"/>
      <c r="B15" s="22" t="s">
        <v>147</v>
      </c>
      <c r="C15" s="19">
        <f>-(C14-C11)</f>
        <v>-5000</v>
      </c>
      <c r="D15" s="19">
        <f>-(D14-D11)</f>
        <v>-5000</v>
      </c>
      <c r="E15" s="20"/>
      <c r="F15" s="19">
        <f>-(F14-F11)</f>
        <v>0</v>
      </c>
      <c r="G15" s="28">
        <f t="shared" si="0"/>
        <v>0</v>
      </c>
      <c r="H15" s="1"/>
      <c r="I15" s="1"/>
      <c r="J15" s="1"/>
      <c r="K15" s="1"/>
      <c r="L15" s="1"/>
      <c r="M15" s="6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6" t="s">
        <v>166</v>
      </c>
      <c r="AB15" s="16" t="s">
        <v>149</v>
      </c>
      <c r="AC15" s="17">
        <f t="shared" ref="AC15:AN15" si="2">AC9-AC12</f>
        <v>0</v>
      </c>
      <c r="AD15" s="17">
        <f t="shared" si="2"/>
        <v>0</v>
      </c>
      <c r="AE15" s="17">
        <f t="shared" si="2"/>
        <v>0</v>
      </c>
      <c r="AF15" s="17">
        <f t="shared" si="2"/>
        <v>0</v>
      </c>
      <c r="AG15" s="17">
        <f t="shared" si="2"/>
        <v>0</v>
      </c>
      <c r="AH15" s="17">
        <f t="shared" si="2"/>
        <v>0</v>
      </c>
      <c r="AI15" s="17">
        <f t="shared" si="2"/>
        <v>0</v>
      </c>
      <c r="AJ15" s="17">
        <f t="shared" si="2"/>
        <v>0</v>
      </c>
      <c r="AK15" s="17">
        <f t="shared" si="2"/>
        <v>0</v>
      </c>
      <c r="AL15" s="17">
        <f t="shared" si="2"/>
        <v>0</v>
      </c>
      <c r="AM15" s="17">
        <f t="shared" si="2"/>
        <v>0</v>
      </c>
      <c r="AN15" s="17">
        <f t="shared" si="2"/>
        <v>0</v>
      </c>
    </row>
    <row r="16" spans="1:51" x14ac:dyDescent="0.25">
      <c r="A16" s="1"/>
      <c r="B16" s="16" t="s">
        <v>28</v>
      </c>
      <c r="C16" s="17">
        <v>1000</v>
      </c>
      <c r="D16" s="17">
        <v>1000</v>
      </c>
      <c r="E16" s="18"/>
      <c r="F16" s="17">
        <f t="shared" ref="F16:F23" si="3">C16-D16</f>
        <v>0</v>
      </c>
      <c r="G16" s="27">
        <f t="shared" si="0"/>
        <v>0</v>
      </c>
      <c r="H16" s="1"/>
      <c r="I16" s="1"/>
      <c r="J16" s="1"/>
      <c r="K16" s="1"/>
      <c r="L16" s="1"/>
      <c r="M16" s="7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6" t="s">
        <v>166</v>
      </c>
      <c r="AB16" s="16" t="s">
        <v>17</v>
      </c>
      <c r="AC16" s="17">
        <f t="shared" ref="AC16:AN16" si="4">AC10-AC13</f>
        <v>0</v>
      </c>
      <c r="AD16" s="17">
        <f t="shared" si="4"/>
        <v>0</v>
      </c>
      <c r="AE16" s="17">
        <f t="shared" si="4"/>
        <v>0</v>
      </c>
      <c r="AF16" s="17">
        <f t="shared" si="4"/>
        <v>0</v>
      </c>
      <c r="AG16" s="17">
        <f t="shared" si="4"/>
        <v>0</v>
      </c>
      <c r="AH16" s="17">
        <f t="shared" si="4"/>
        <v>0</v>
      </c>
      <c r="AI16" s="17">
        <f t="shared" si="4"/>
        <v>0</v>
      </c>
      <c r="AJ16" s="17">
        <f t="shared" si="4"/>
        <v>0</v>
      </c>
      <c r="AK16" s="17">
        <f t="shared" si="4"/>
        <v>0</v>
      </c>
      <c r="AL16" s="17">
        <f t="shared" si="4"/>
        <v>0</v>
      </c>
      <c r="AM16" s="17">
        <f t="shared" si="4"/>
        <v>0</v>
      </c>
      <c r="AN16" s="17">
        <f t="shared" si="4"/>
        <v>0</v>
      </c>
    </row>
    <row r="17" spans="1:40" x14ac:dyDescent="0.25">
      <c r="A17" s="1"/>
      <c r="B17" s="16" t="s">
        <v>29</v>
      </c>
      <c r="C17" s="17">
        <v>1000</v>
      </c>
      <c r="D17" s="17">
        <v>1000</v>
      </c>
      <c r="E17" s="18"/>
      <c r="F17" s="17">
        <f t="shared" si="3"/>
        <v>0</v>
      </c>
      <c r="G17" s="27">
        <f t="shared" si="0"/>
        <v>0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40" ht="14.25" x14ac:dyDescent="0.25">
      <c r="A18" s="1"/>
      <c r="B18" s="16" t="s">
        <v>30</v>
      </c>
      <c r="C18" s="17">
        <v>1000</v>
      </c>
      <c r="D18" s="17">
        <v>1000</v>
      </c>
      <c r="E18" s="18"/>
      <c r="F18" s="17">
        <f t="shared" si="3"/>
        <v>0</v>
      </c>
      <c r="G18" s="27">
        <f t="shared" si="0"/>
        <v>0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40" ht="14.25" x14ac:dyDescent="0.25">
      <c r="A19" s="1"/>
      <c r="B19" s="16" t="s">
        <v>31</v>
      </c>
      <c r="C19" s="17">
        <v>1000</v>
      </c>
      <c r="D19" s="17">
        <v>1000</v>
      </c>
      <c r="E19" s="18"/>
      <c r="F19" s="17">
        <f t="shared" si="3"/>
        <v>0</v>
      </c>
      <c r="G19" s="27">
        <f t="shared" si="0"/>
        <v>0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B19" s="77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</row>
    <row r="20" spans="1:40" ht="14.25" x14ac:dyDescent="0.25">
      <c r="A20" s="1"/>
      <c r="B20" s="16" t="s">
        <v>32</v>
      </c>
      <c r="C20" s="17">
        <v>1000</v>
      </c>
      <c r="D20" s="17">
        <v>1000</v>
      </c>
      <c r="E20" s="18"/>
      <c r="F20" s="17">
        <f t="shared" si="3"/>
        <v>0</v>
      </c>
      <c r="G20" s="27">
        <f t="shared" si="0"/>
        <v>0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40" ht="14.25" x14ac:dyDescent="0.25">
      <c r="A21" s="1"/>
      <c r="B21" s="16" t="s">
        <v>33</v>
      </c>
      <c r="C21" s="17">
        <v>1000</v>
      </c>
      <c r="D21" s="17">
        <v>1000</v>
      </c>
      <c r="E21" s="18"/>
      <c r="F21" s="17">
        <f t="shared" si="3"/>
        <v>0</v>
      </c>
      <c r="G21" s="27">
        <f t="shared" si="0"/>
        <v>0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40" ht="14.25" x14ac:dyDescent="0.25">
      <c r="A22" s="1"/>
      <c r="B22" s="16" t="s">
        <v>34</v>
      </c>
      <c r="C22" s="17">
        <v>1000</v>
      </c>
      <c r="D22" s="17">
        <v>1000</v>
      </c>
      <c r="E22" s="18"/>
      <c r="F22" s="17">
        <f t="shared" si="3"/>
        <v>0</v>
      </c>
      <c r="G22" s="27">
        <f t="shared" si="0"/>
        <v>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D22" s="76"/>
    </row>
    <row r="23" spans="1:40" ht="14.25" x14ac:dyDescent="0.25">
      <c r="A23" s="1"/>
      <c r="B23" s="16" t="s">
        <v>35</v>
      </c>
      <c r="C23" s="17">
        <v>1000</v>
      </c>
      <c r="D23" s="17">
        <v>1000</v>
      </c>
      <c r="E23" s="18"/>
      <c r="F23" s="17">
        <f t="shared" si="3"/>
        <v>0</v>
      </c>
      <c r="G23" s="27">
        <f t="shared" si="0"/>
        <v>0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40" ht="14.25" x14ac:dyDescent="0.25">
      <c r="A24" s="1"/>
      <c r="B24" s="22" t="s">
        <v>148</v>
      </c>
      <c r="C24" s="19">
        <f>C16+C17+C18+C19+C22+C20+C21+C23</f>
        <v>8000</v>
      </c>
      <c r="D24" s="19">
        <f>D16+D17+D18+D19+D22+D20+D21+D23</f>
        <v>8000</v>
      </c>
      <c r="E24" s="20"/>
      <c r="F24" s="19">
        <f>F16+F17+F18+F19+F22+F20+F21+F23</f>
        <v>0</v>
      </c>
      <c r="G24" s="28">
        <f t="shared" si="0"/>
        <v>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</row>
    <row r="25" spans="1:40" ht="14.25" x14ac:dyDescent="0.25">
      <c r="A25" s="1"/>
      <c r="B25" s="22" t="s">
        <v>149</v>
      </c>
      <c r="C25" s="19">
        <f>-(C24-C15)</f>
        <v>-13000</v>
      </c>
      <c r="D25" s="19">
        <f>-(D24-D15)</f>
        <v>-13000</v>
      </c>
      <c r="E25" s="20"/>
      <c r="F25" s="19">
        <f>-(F24-F15)</f>
        <v>0</v>
      </c>
      <c r="G25" s="28">
        <f t="shared" si="0"/>
        <v>0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40" ht="14.25" x14ac:dyDescent="0.25">
      <c r="A26" s="1"/>
      <c r="B26" s="16" t="s">
        <v>150</v>
      </c>
      <c r="C26" s="17">
        <v>-1000</v>
      </c>
      <c r="D26" s="17">
        <v>-1000</v>
      </c>
      <c r="E26" s="18"/>
      <c r="F26" s="17">
        <f>C26-D26</f>
        <v>0</v>
      </c>
      <c r="G26" s="27">
        <f t="shared" si="0"/>
        <v>0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40" ht="14.25" x14ac:dyDescent="0.25">
      <c r="A27" s="1"/>
      <c r="B27" s="16" t="s">
        <v>151</v>
      </c>
      <c r="C27" s="17">
        <v>-1000</v>
      </c>
      <c r="D27" s="17">
        <v>-1000</v>
      </c>
      <c r="E27" s="18"/>
      <c r="F27" s="17">
        <f>C27-D27</f>
        <v>0</v>
      </c>
      <c r="G27" s="27">
        <f t="shared" si="0"/>
        <v>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40" ht="14.25" x14ac:dyDescent="0.25">
      <c r="A28" s="1"/>
      <c r="B28" s="16" t="s">
        <v>37</v>
      </c>
      <c r="C28" s="17">
        <v>-1000</v>
      </c>
      <c r="D28" s="17">
        <v>-1000</v>
      </c>
      <c r="E28" s="18"/>
      <c r="F28" s="17">
        <f>C28-D28</f>
        <v>0</v>
      </c>
      <c r="G28" s="27">
        <f t="shared" si="0"/>
        <v>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40" ht="14.25" x14ac:dyDescent="0.25">
      <c r="A29" s="1"/>
      <c r="B29" s="16" t="s">
        <v>152</v>
      </c>
      <c r="C29" s="17">
        <v>-1000</v>
      </c>
      <c r="D29" s="17">
        <v>-1000</v>
      </c>
      <c r="E29" s="18"/>
      <c r="F29" s="17">
        <f>C29-D29</f>
        <v>0</v>
      </c>
      <c r="G29" s="27">
        <f t="shared" si="0"/>
        <v>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40" x14ac:dyDescent="0.25">
      <c r="A30" s="1"/>
      <c r="B30" s="22" t="s">
        <v>153</v>
      </c>
      <c r="C30" s="19">
        <f>C25+C26+C27+C28+C29</f>
        <v>-17000</v>
      </c>
      <c r="D30" s="19">
        <f>D25+D26+D27+D28+D29</f>
        <v>-17000</v>
      </c>
      <c r="E30" s="20"/>
      <c r="F30" s="19">
        <f>F25+F26+F27+F28+F29</f>
        <v>0</v>
      </c>
      <c r="G30" s="28">
        <f t="shared" si="0"/>
        <v>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40" ht="14.25" customHeight="1" x14ac:dyDescent="0.25">
      <c r="A31" s="1"/>
      <c r="B31" s="16" t="s">
        <v>15</v>
      </c>
      <c r="C31" s="17">
        <v>1000</v>
      </c>
      <c r="D31" s="17">
        <v>1000</v>
      </c>
      <c r="E31" s="18"/>
      <c r="F31" s="17">
        <f>C31-D31</f>
        <v>0</v>
      </c>
      <c r="G31" s="27">
        <f t="shared" si="0"/>
        <v>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40" x14ac:dyDescent="0.25">
      <c r="A32" s="1"/>
      <c r="B32" s="22" t="s">
        <v>17</v>
      </c>
      <c r="C32" s="19">
        <f>-(C31-C30)</f>
        <v>-18000</v>
      </c>
      <c r="D32" s="19">
        <f>-(D31-D30)</f>
        <v>-18000</v>
      </c>
      <c r="E32" s="20"/>
      <c r="F32" s="19">
        <f>-(F31-F30)</f>
        <v>0</v>
      </c>
      <c r="G32" s="28">
        <f t="shared" si="0"/>
        <v>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x14ac:dyDescent="0.25">
      <c r="A33" s="1"/>
      <c r="B33" s="16" t="s">
        <v>18</v>
      </c>
      <c r="C33" s="17">
        <v>-1000</v>
      </c>
      <c r="D33" s="17">
        <v>-1000</v>
      </c>
      <c r="E33" s="18"/>
      <c r="F33" s="17">
        <f>C33-D33</f>
        <v>0</v>
      </c>
      <c r="G33" s="27">
        <f t="shared" si="0"/>
        <v>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thickBot="1" x14ac:dyDescent="0.3">
      <c r="A34" s="1"/>
      <c r="B34" s="23" t="s">
        <v>19</v>
      </c>
      <c r="C34" s="21">
        <f>C32+C33</f>
        <v>-19000</v>
      </c>
      <c r="D34" s="21">
        <f>D32+D33</f>
        <v>-19000</v>
      </c>
      <c r="E34" s="21"/>
      <c r="F34" s="21">
        <f>F32+F33</f>
        <v>0</v>
      </c>
      <c r="G34" s="29">
        <f t="shared" si="0"/>
        <v>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 thickTop="1" x14ac:dyDescent="0.25">
      <c r="A35" s="1"/>
      <c r="B35" s="1"/>
      <c r="C35" s="1"/>
      <c r="D35" s="2"/>
      <c r="E35" s="2"/>
      <c r="F35" s="2"/>
      <c r="G35" s="2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7" hidden="1" customHeight="1" x14ac:dyDescent="0.25">
      <c r="A36" s="1"/>
      <c r="B36" s="1"/>
      <c r="C36" s="1"/>
      <c r="D36" s="2"/>
      <c r="E36" s="2"/>
      <c r="F36" s="2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7" hidden="1" customHeight="1" x14ac:dyDescent="0.25">
      <c r="A37" s="1"/>
      <c r="B37" s="1"/>
      <c r="C37" s="8"/>
      <c r="D37" s="9"/>
      <c r="E37" s="9"/>
      <c r="F37" s="9"/>
      <c r="G37" s="9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ht="13.7" hidden="1" customHeight="1" x14ac:dyDescent="0.25">
      <c r="A38" s="1"/>
      <c r="B38" s="1"/>
      <c r="C38" s="8"/>
      <c r="D38" s="9"/>
      <c r="E38" s="9"/>
      <c r="F38" s="9"/>
      <c r="G38" s="9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ht="13.7" hidden="1" customHeight="1" x14ac:dyDescent="0.25">
      <c r="A39" s="1"/>
      <c r="B39" s="8"/>
      <c r="C39" s="1"/>
      <c r="D39" s="2"/>
      <c r="E39" s="2"/>
      <c r="F39" s="2"/>
      <c r="G39" s="2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7" hidden="1" customHeight="1" x14ac:dyDescent="0.25">
      <c r="A40" s="1"/>
      <c r="B40" s="8"/>
      <c r="C40" s="1"/>
      <c r="D40" s="2"/>
      <c r="E40" s="2"/>
      <c r="F40" s="2"/>
      <c r="G40" s="2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hidden="1" x14ac:dyDescent="0.25">
      <c r="A41" s="1"/>
      <c r="B41" s="8"/>
      <c r="C41" s="1"/>
      <c r="D41" s="10"/>
      <c r="E41" s="10"/>
      <c r="F41" s="10"/>
      <c r="G41" s="1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hidden="1" x14ac:dyDescent="0.25">
      <c r="A42" s="1"/>
      <c r="B42" s="8"/>
      <c r="C42" s="1"/>
      <c r="D42" s="2"/>
      <c r="E42" s="2"/>
      <c r="F42" s="2"/>
      <c r="G42" s="2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hidden="1" x14ac:dyDescent="0.25">
      <c r="A43" s="1"/>
      <c r="B43" s="8"/>
      <c r="C43" s="1"/>
      <c r="D43" s="10"/>
      <c r="E43" s="10"/>
      <c r="F43" s="10"/>
      <c r="G43" s="10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hidden="1" x14ac:dyDescent="0.25">
      <c r="A44" s="1"/>
      <c r="B44" s="8"/>
      <c r="C44" s="1"/>
      <c r="D44" s="2"/>
      <c r="E44" s="2"/>
      <c r="F44" s="2"/>
      <c r="G44" s="2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hidden="1" x14ac:dyDescent="0.25">
      <c r="A45" s="1"/>
      <c r="B45" s="8"/>
      <c r="C45" s="1"/>
      <c r="D45" s="2"/>
      <c r="E45" s="2"/>
      <c r="F45" s="2"/>
      <c r="G45" s="2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hidden="1" x14ac:dyDescent="0.25">
      <c r="A46" s="1"/>
      <c r="B46" s="8"/>
      <c r="C46" s="1"/>
      <c r="D46" s="2"/>
      <c r="E46" s="2"/>
      <c r="F46" s="2"/>
      <c r="G46" s="2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hidden="1" x14ac:dyDescent="0.25">
      <c r="A47" s="1"/>
      <c r="B47" s="8"/>
      <c r="C47" s="1"/>
      <c r="D47" s="10"/>
      <c r="E47" s="10"/>
      <c r="F47" s="10"/>
      <c r="G47" s="1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hidden="1" x14ac:dyDescent="0.25">
      <c r="A48" s="1"/>
      <c r="B48" s="8"/>
      <c r="C48" s="1"/>
      <c r="D48" s="2"/>
      <c r="E48" s="2"/>
      <c r="F48" s="2"/>
      <c r="G48" s="2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hidden="1" x14ac:dyDescent="0.25">
      <c r="A49" s="1"/>
      <c r="B49" s="8"/>
      <c r="C49" s="1"/>
      <c r="D49" s="2"/>
      <c r="E49" s="2"/>
      <c r="F49" s="2"/>
      <c r="G49" s="2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hidden="1" x14ac:dyDescent="0.25">
      <c r="A50" s="1"/>
      <c r="B50" s="8"/>
      <c r="C50" s="1"/>
      <c r="D50" s="2"/>
      <c r="E50" s="2"/>
      <c r="F50" s="2"/>
      <c r="G50" s="2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hidden="1" x14ac:dyDescent="0.25">
      <c r="A51" s="1"/>
      <c r="B51" s="8"/>
      <c r="C51" s="1"/>
      <c r="D51" s="2"/>
      <c r="E51" s="2"/>
      <c r="F51" s="2"/>
      <c r="G51" s="2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hidden="1" x14ac:dyDescent="0.25">
      <c r="A52" s="1"/>
      <c r="B52" s="8"/>
      <c r="C52" s="1"/>
      <c r="D52" s="2"/>
      <c r="E52" s="2"/>
      <c r="F52" s="2"/>
      <c r="G52" s="2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hidden="1" x14ac:dyDescent="0.25">
      <c r="A53" s="1"/>
      <c r="B53" s="8"/>
      <c r="C53" s="1"/>
      <c r="D53" s="2"/>
      <c r="E53" s="2"/>
      <c r="F53" s="2"/>
      <c r="G53" s="2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hidden="1" x14ac:dyDescent="0.25">
      <c r="A54" s="1"/>
      <c r="B54" s="8"/>
      <c r="C54" s="1"/>
      <c r="D54" s="2"/>
      <c r="E54" s="2"/>
      <c r="F54" s="2"/>
      <c r="G54" s="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hidden="1" x14ac:dyDescent="0.25">
      <c r="A55" s="1"/>
      <c r="B55" s="8"/>
      <c r="C55" s="1"/>
      <c r="D55" s="2"/>
      <c r="E55" s="2"/>
      <c r="F55" s="2"/>
      <c r="G55" s="2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hidden="1" x14ac:dyDescent="0.25">
      <c r="A56" s="1"/>
      <c r="B56" s="8"/>
      <c r="C56" s="1"/>
      <c r="D56" s="2"/>
      <c r="E56" s="2"/>
      <c r="F56" s="2"/>
      <c r="G56" s="2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hidden="1" x14ac:dyDescent="0.25">
      <c r="A57" s="1"/>
      <c r="B57" s="8"/>
      <c r="C57" s="1"/>
      <c r="D57" s="10"/>
      <c r="E57" s="10"/>
      <c r="F57" s="10"/>
      <c r="G57" s="1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hidden="1" x14ac:dyDescent="0.25">
      <c r="A58" s="1"/>
      <c r="B58" s="8"/>
      <c r="C58" s="1"/>
      <c r="D58" s="2"/>
      <c r="E58" s="2"/>
      <c r="F58" s="2"/>
      <c r="G58" s="2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hidden="1" x14ac:dyDescent="0.25">
      <c r="A59" s="1"/>
      <c r="B59" s="8"/>
      <c r="C59" s="1"/>
      <c r="D59" s="2"/>
      <c r="E59" s="2"/>
      <c r="F59" s="2"/>
      <c r="G59" s="2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hidden="1" x14ac:dyDescent="0.25">
      <c r="A60" s="1"/>
      <c r="B60" s="8"/>
      <c r="C60" s="1"/>
      <c r="D60" s="2"/>
      <c r="E60" s="2"/>
      <c r="F60" s="2"/>
      <c r="G60" s="2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hidden="1" x14ac:dyDescent="0.25">
      <c r="A61" s="1"/>
      <c r="B61" s="8"/>
      <c r="C61" s="1"/>
      <c r="D61" s="2"/>
      <c r="E61" s="2"/>
      <c r="F61" s="2"/>
      <c r="G61" s="2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hidden="1" x14ac:dyDescent="0.25">
      <c r="A62" s="1"/>
      <c r="B62" s="8"/>
      <c r="C62" s="1"/>
      <c r="D62" s="10"/>
      <c r="E62" s="10"/>
      <c r="F62" s="10"/>
      <c r="G62" s="10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hidden="1" x14ac:dyDescent="0.25">
      <c r="A63" s="1"/>
      <c r="B63" s="8"/>
      <c r="C63" s="1"/>
      <c r="D63" s="2"/>
      <c r="E63" s="2"/>
      <c r="F63" s="2"/>
      <c r="G63" s="2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hidden="1" x14ac:dyDescent="0.25">
      <c r="A64" s="1"/>
      <c r="B64" s="8"/>
      <c r="C64" s="1"/>
      <c r="D64" s="10"/>
      <c r="E64" s="10"/>
      <c r="F64" s="10"/>
      <c r="G64" s="10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hidden="1" x14ac:dyDescent="0.25">
      <c r="A65" s="1"/>
      <c r="B65" s="8"/>
      <c r="C65" s="1"/>
      <c r="D65" s="2"/>
      <c r="E65" s="2"/>
      <c r="F65" s="2"/>
      <c r="G65" s="2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hidden="1" x14ac:dyDescent="0.25">
      <c r="A66" s="1"/>
      <c r="B66" s="8"/>
      <c r="C66" s="1"/>
      <c r="D66" s="10"/>
      <c r="E66" s="10"/>
      <c r="F66" s="10"/>
      <c r="G66" s="10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hidden="1" x14ac:dyDescent="0.25"/>
    <row r="68" spans="1:26" ht="14.25" hidden="1" x14ac:dyDescent="0.25">
      <c r="I68" s="11"/>
      <c r="J68" s="12"/>
    </row>
    <row r="69" spans="1:26" x14ac:dyDescent="0.25">
      <c r="B69" s="43" t="s">
        <v>21</v>
      </c>
      <c r="I69" s="79"/>
      <c r="J69" s="79"/>
    </row>
  </sheetData>
  <mergeCells count="4">
    <mergeCell ref="B3:C3"/>
    <mergeCell ref="B2:C2"/>
    <mergeCell ref="I69:J69"/>
    <mergeCell ref="I6:K6"/>
  </mergeCells>
  <hyperlinks>
    <hyperlink ref="H1" tooltip="Open '2100_050'_x000d__x000a_"/>
  </hyperlinks>
  <pageMargins left="0.75" right="0.75" top="1" bottom="1" header="0.5" footer="0.5"/>
  <pageSetup orientation="portrait" r:id="rId1"/>
  <headerFooter alignWithMargins="0"/>
  <customProperties>
    <customPr name="TGK_SHEET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B1:J183"/>
  <sheetViews>
    <sheetView showGridLines="0" showRowColHeaders="0" zoomScaleNormal="100" workbookViewId="0"/>
  </sheetViews>
  <sheetFormatPr defaultRowHeight="15" x14ac:dyDescent="0.25"/>
  <cols>
    <col min="1" max="1" width="2.140625" customWidth="1"/>
    <col min="2" max="2" width="9.42578125" hidden="1" customWidth="1"/>
    <col min="3" max="3" width="35.42578125" customWidth="1"/>
    <col min="4" max="5" width="18.42578125" customWidth="1"/>
    <col min="6" max="6" width="15" customWidth="1"/>
    <col min="7" max="7" width="5.28515625" customWidth="1"/>
    <col min="8" max="8" width="18.140625" customWidth="1"/>
    <col min="9" max="9" width="42.7109375" customWidth="1"/>
    <col min="10" max="10" width="14.42578125" style="48" customWidth="1"/>
  </cols>
  <sheetData>
    <row r="1" spans="2:10" ht="24.4" customHeight="1" x14ac:dyDescent="0.25">
      <c r="C1" s="58" t="s">
        <v>23</v>
      </c>
      <c r="D1" s="45"/>
      <c r="E1" s="8"/>
      <c r="F1" s="46"/>
      <c r="G1" s="1"/>
      <c r="H1" s="1"/>
      <c r="I1" s="1"/>
      <c r="J1" s="47"/>
    </row>
    <row r="2" spans="2:10" ht="13.15" customHeight="1" x14ac:dyDescent="0.25">
      <c r="F2" s="1"/>
      <c r="G2" s="1"/>
      <c r="H2" s="1"/>
      <c r="I2" s="1"/>
      <c r="J2" s="47"/>
    </row>
    <row r="3" spans="2:10" ht="6.75" hidden="1" customHeight="1" x14ac:dyDescent="0.25">
      <c r="C3" s="1"/>
      <c r="D3" s="1"/>
      <c r="E3" s="1"/>
      <c r="F3" s="1"/>
      <c r="G3" s="1"/>
      <c r="H3" s="1"/>
      <c r="I3" s="1"/>
      <c r="J3" s="47"/>
    </row>
    <row r="4" spans="2:10" ht="15" customHeight="1" thickBot="1" x14ac:dyDescent="0.3">
      <c r="C4" s="49"/>
      <c r="D4" s="14" t="s">
        <v>127</v>
      </c>
      <c r="E4" s="14" t="s">
        <v>128</v>
      </c>
      <c r="F4" s="14" t="s">
        <v>120</v>
      </c>
      <c r="H4" s="81" t="s">
        <v>129</v>
      </c>
      <c r="I4" s="81"/>
      <c r="J4" s="81"/>
    </row>
    <row r="5" spans="2:10" ht="13.7" customHeight="1" thickTop="1" x14ac:dyDescent="0.25">
      <c r="B5" s="16" t="s">
        <v>130</v>
      </c>
      <c r="C5" s="16" t="s">
        <v>131</v>
      </c>
      <c r="D5" s="31">
        <v>1000</v>
      </c>
      <c r="E5" s="31">
        <v>1000</v>
      </c>
      <c r="F5" s="31">
        <f>D5-E5</f>
        <v>0</v>
      </c>
      <c r="H5" s="50" t="s">
        <v>135</v>
      </c>
      <c r="I5" s="51" t="s">
        <v>132</v>
      </c>
      <c r="J5" s="52" t="s">
        <v>133</v>
      </c>
    </row>
    <row r="6" spans="2:10" ht="13.7" customHeight="1" x14ac:dyDescent="0.25">
      <c r="H6" s="53"/>
      <c r="I6" s="53"/>
    </row>
    <row r="7" spans="2:10" ht="13.7" customHeight="1" x14ac:dyDescent="0.25">
      <c r="H7" s="53"/>
      <c r="I7" s="53"/>
    </row>
    <row r="8" spans="2:10" ht="13.7" customHeight="1" x14ac:dyDescent="0.25">
      <c r="C8" s="43" t="s">
        <v>119</v>
      </c>
      <c r="H8" s="53"/>
      <c r="I8" s="53"/>
    </row>
    <row r="9" spans="2:10" ht="13.7" customHeight="1" x14ac:dyDescent="0.25">
      <c r="H9" s="53"/>
      <c r="I9" s="53"/>
    </row>
    <row r="10" spans="2:10" ht="13.7" customHeight="1" x14ac:dyDescent="0.25">
      <c r="H10" s="53"/>
      <c r="I10" s="53"/>
    </row>
    <row r="11" spans="2:10" ht="13.7" customHeight="1" x14ac:dyDescent="0.25">
      <c r="H11" s="53"/>
      <c r="I11" s="53"/>
    </row>
    <row r="12" spans="2:10" ht="13.7" customHeight="1" x14ac:dyDescent="0.25">
      <c r="H12" s="53"/>
      <c r="I12" s="53"/>
    </row>
    <row r="13" spans="2:10" ht="13.7" customHeight="1" x14ac:dyDescent="0.25">
      <c r="H13" s="53"/>
      <c r="I13" s="53"/>
    </row>
    <row r="14" spans="2:10" ht="13.7" customHeight="1" x14ac:dyDescent="0.25">
      <c r="H14" s="53"/>
      <c r="I14" s="53"/>
    </row>
    <row r="15" spans="2:10" ht="13.7" customHeight="1" x14ac:dyDescent="0.25">
      <c r="H15" s="53"/>
      <c r="I15" s="53"/>
    </row>
    <row r="16" spans="2:10" ht="13.7" customHeight="1" x14ac:dyDescent="0.25">
      <c r="H16" s="53"/>
      <c r="I16" s="53"/>
    </row>
    <row r="17" spans="8:10" ht="13.7" customHeight="1" x14ac:dyDescent="0.25">
      <c r="H17" s="53"/>
      <c r="I17" s="53"/>
    </row>
    <row r="18" spans="8:10" ht="13.7" customHeight="1" x14ac:dyDescent="0.25">
      <c r="H18" s="53"/>
      <c r="I18" s="53"/>
    </row>
    <row r="19" spans="8:10" ht="13.7" customHeight="1" x14ac:dyDescent="0.25">
      <c r="H19" s="53"/>
      <c r="I19" s="53"/>
    </row>
    <row r="20" spans="8:10" ht="13.7" customHeight="1" x14ac:dyDescent="0.25">
      <c r="H20" s="53"/>
      <c r="I20" s="53"/>
    </row>
    <row r="21" spans="8:10" ht="13.7" customHeight="1" x14ac:dyDescent="0.25">
      <c r="H21" s="53"/>
      <c r="I21" s="53"/>
    </row>
    <row r="22" spans="8:10" ht="13.7" customHeight="1" x14ac:dyDescent="0.25">
      <c r="H22" s="53"/>
      <c r="I22" s="53"/>
    </row>
    <row r="23" spans="8:10" ht="13.7" customHeight="1" x14ac:dyDescent="0.25">
      <c r="H23" s="53"/>
      <c r="I23" s="53"/>
    </row>
    <row r="24" spans="8:10" ht="13.7" customHeight="1" x14ac:dyDescent="0.25">
      <c r="H24" s="53"/>
      <c r="I24" s="53"/>
    </row>
    <row r="25" spans="8:10" ht="13.7" customHeight="1" x14ac:dyDescent="0.25">
      <c r="H25" s="53"/>
      <c r="I25" s="53"/>
      <c r="J25" s="54"/>
    </row>
    <row r="26" spans="8:10" ht="13.7" customHeight="1" x14ac:dyDescent="0.25">
      <c r="H26" s="53"/>
      <c r="I26" s="53"/>
      <c r="J26" s="54"/>
    </row>
    <row r="27" spans="8:10" ht="13.7" customHeight="1" x14ac:dyDescent="0.25">
      <c r="H27" s="53"/>
      <c r="I27" s="53"/>
      <c r="J27" s="54"/>
    </row>
    <row r="28" spans="8:10" ht="13.7" customHeight="1" x14ac:dyDescent="0.25">
      <c r="H28" s="53"/>
      <c r="I28" s="53"/>
      <c r="J28" s="54"/>
    </row>
    <row r="29" spans="8:10" ht="13.7" customHeight="1" x14ac:dyDescent="0.25">
      <c r="H29" s="53"/>
      <c r="I29" s="53"/>
      <c r="J29" s="54"/>
    </row>
    <row r="30" spans="8:10" ht="13.7" customHeight="1" x14ac:dyDescent="0.25">
      <c r="H30" s="53"/>
      <c r="I30" s="53"/>
      <c r="J30" s="54"/>
    </row>
    <row r="31" spans="8:10" ht="13.7" customHeight="1" x14ac:dyDescent="0.25">
      <c r="H31" s="53"/>
      <c r="I31" s="53"/>
      <c r="J31" s="54"/>
    </row>
    <row r="32" spans="8:10" ht="13.7" customHeight="1" x14ac:dyDescent="0.25">
      <c r="H32" s="53"/>
      <c r="I32" s="53"/>
      <c r="J32" s="54"/>
    </row>
    <row r="33" spans="8:10" ht="13.7" customHeight="1" x14ac:dyDescent="0.25">
      <c r="H33" s="53"/>
      <c r="I33" s="53"/>
      <c r="J33" s="54"/>
    </row>
    <row r="34" spans="8:10" ht="13.7" customHeight="1" x14ac:dyDescent="0.25">
      <c r="H34" s="53"/>
      <c r="I34" s="53"/>
      <c r="J34" s="54"/>
    </row>
    <row r="35" spans="8:10" ht="13.7" customHeight="1" x14ac:dyDescent="0.25">
      <c r="H35" s="53"/>
      <c r="I35" s="53"/>
      <c r="J35" s="54"/>
    </row>
    <row r="36" spans="8:10" ht="13.7" customHeight="1" x14ac:dyDescent="0.25">
      <c r="H36" s="53"/>
      <c r="I36" s="53"/>
      <c r="J36" s="54"/>
    </row>
    <row r="37" spans="8:10" ht="13.7" customHeight="1" x14ac:dyDescent="0.25">
      <c r="H37" s="53"/>
      <c r="I37" s="53"/>
      <c r="J37" s="54"/>
    </row>
    <row r="38" spans="8:10" ht="13.7" customHeight="1" x14ac:dyDescent="0.25">
      <c r="H38" s="53"/>
      <c r="I38" s="53"/>
      <c r="J38" s="54"/>
    </row>
    <row r="39" spans="8:10" ht="13.7" customHeight="1" x14ac:dyDescent="0.25">
      <c r="H39" s="53"/>
      <c r="I39" s="53"/>
      <c r="J39" s="54"/>
    </row>
    <row r="40" spans="8:10" ht="13.7" customHeight="1" x14ac:dyDescent="0.25">
      <c r="H40" s="53"/>
      <c r="I40" s="53"/>
      <c r="J40" s="54"/>
    </row>
    <row r="41" spans="8:10" ht="13.7" customHeight="1" x14ac:dyDescent="0.25">
      <c r="H41" s="53"/>
      <c r="I41" s="53"/>
      <c r="J41" s="54"/>
    </row>
    <row r="42" spans="8:10" ht="13.7" customHeight="1" x14ac:dyDescent="0.25">
      <c r="H42" s="53"/>
      <c r="I42" s="53"/>
      <c r="J42" s="54"/>
    </row>
    <row r="43" spans="8:10" ht="13.7" customHeight="1" x14ac:dyDescent="0.25">
      <c r="H43" s="53"/>
      <c r="I43" s="53"/>
      <c r="J43" s="54"/>
    </row>
    <row r="44" spans="8:10" ht="13.7" customHeight="1" x14ac:dyDescent="0.25">
      <c r="H44" s="53"/>
      <c r="I44" s="53"/>
      <c r="J44" s="54"/>
    </row>
    <row r="45" spans="8:10" ht="13.7" customHeight="1" x14ac:dyDescent="0.25">
      <c r="H45" s="53"/>
      <c r="I45" s="53"/>
      <c r="J45" s="54"/>
    </row>
    <row r="46" spans="8:10" ht="13.7" customHeight="1" x14ac:dyDescent="0.25">
      <c r="H46" s="53"/>
      <c r="I46" s="53"/>
      <c r="J46" s="54"/>
    </row>
    <row r="47" spans="8:10" ht="13.7" customHeight="1" x14ac:dyDescent="0.25">
      <c r="H47" s="53"/>
      <c r="I47" s="53"/>
      <c r="J47" s="54"/>
    </row>
    <row r="48" spans="8:10" ht="13.7" customHeight="1" x14ac:dyDescent="0.25">
      <c r="H48" s="53"/>
      <c r="I48" s="53"/>
      <c r="J48" s="54"/>
    </row>
    <row r="49" spans="8:10" ht="13.7" customHeight="1" x14ac:dyDescent="0.25">
      <c r="H49" s="53"/>
      <c r="I49" s="53"/>
      <c r="J49" s="54"/>
    </row>
    <row r="50" spans="8:10" ht="13.7" customHeight="1" x14ac:dyDescent="0.25">
      <c r="H50" s="53"/>
      <c r="I50" s="53"/>
      <c r="J50" s="54"/>
    </row>
    <row r="51" spans="8:10" ht="13.7" customHeight="1" x14ac:dyDescent="0.25">
      <c r="H51" s="53"/>
      <c r="I51" s="53"/>
      <c r="J51" s="54"/>
    </row>
    <row r="52" spans="8:10" ht="13.7" customHeight="1" x14ac:dyDescent="0.25">
      <c r="H52" s="53"/>
      <c r="I52" s="53"/>
      <c r="J52" s="54"/>
    </row>
    <row r="53" spans="8:10" ht="13.7" customHeight="1" x14ac:dyDescent="0.25">
      <c r="H53" s="53"/>
      <c r="I53" s="53"/>
      <c r="J53" s="54"/>
    </row>
    <row r="54" spans="8:10" ht="13.7" customHeight="1" x14ac:dyDescent="0.25">
      <c r="H54" s="53"/>
      <c r="I54" s="53"/>
      <c r="J54" s="54"/>
    </row>
    <row r="55" spans="8:10" ht="13.7" customHeight="1" x14ac:dyDescent="0.25">
      <c r="H55" s="53"/>
      <c r="I55" s="53"/>
      <c r="J55" s="54"/>
    </row>
    <row r="56" spans="8:10" ht="13.7" customHeight="1" x14ac:dyDescent="0.25">
      <c r="H56" s="53"/>
      <c r="I56" s="53"/>
      <c r="J56" s="54"/>
    </row>
    <row r="57" spans="8:10" ht="13.7" customHeight="1" x14ac:dyDescent="0.25">
      <c r="H57" s="53"/>
      <c r="I57" s="53"/>
      <c r="J57" s="54"/>
    </row>
    <row r="58" spans="8:10" ht="13.7" customHeight="1" x14ac:dyDescent="0.25">
      <c r="H58" s="53"/>
      <c r="I58" s="53"/>
      <c r="J58" s="54"/>
    </row>
    <row r="59" spans="8:10" ht="13.7" customHeight="1" x14ac:dyDescent="0.25">
      <c r="H59" s="53"/>
      <c r="I59" s="53"/>
      <c r="J59" s="54"/>
    </row>
    <row r="60" spans="8:10" ht="13.7" customHeight="1" x14ac:dyDescent="0.25">
      <c r="H60" s="53"/>
      <c r="I60" s="53"/>
      <c r="J60" s="54"/>
    </row>
    <row r="61" spans="8:10" ht="13.7" customHeight="1" x14ac:dyDescent="0.25">
      <c r="H61" s="53"/>
      <c r="I61" s="53"/>
      <c r="J61" s="54"/>
    </row>
    <row r="62" spans="8:10" ht="13.7" customHeight="1" x14ac:dyDescent="0.25">
      <c r="H62" s="53"/>
      <c r="I62" s="53"/>
      <c r="J62" s="54"/>
    </row>
    <row r="63" spans="8:10" ht="13.7" customHeight="1" x14ac:dyDescent="0.25">
      <c r="H63" s="53"/>
      <c r="I63" s="53"/>
      <c r="J63" s="54"/>
    </row>
    <row r="64" spans="8:10" ht="13.7" customHeight="1" x14ac:dyDescent="0.25">
      <c r="H64" s="53"/>
      <c r="I64" s="53"/>
      <c r="J64" s="54"/>
    </row>
    <row r="65" spans="8:10" ht="13.7" customHeight="1" x14ac:dyDescent="0.25">
      <c r="H65" s="53"/>
      <c r="I65" s="53"/>
      <c r="J65" s="54"/>
    </row>
    <row r="66" spans="8:10" ht="13.7" customHeight="1" x14ac:dyDescent="0.25">
      <c r="H66" s="53"/>
      <c r="I66" s="53"/>
      <c r="J66" s="54"/>
    </row>
    <row r="67" spans="8:10" ht="13.7" customHeight="1" x14ac:dyDescent="0.25">
      <c r="H67" s="53"/>
      <c r="I67" s="53"/>
      <c r="J67" s="54"/>
    </row>
    <row r="68" spans="8:10" ht="13.7" customHeight="1" x14ac:dyDescent="0.25">
      <c r="H68" s="53"/>
      <c r="I68" s="53"/>
      <c r="J68" s="54"/>
    </row>
    <row r="69" spans="8:10" ht="13.7" customHeight="1" x14ac:dyDescent="0.25">
      <c r="H69" s="53"/>
      <c r="I69" s="53"/>
      <c r="J69" s="54"/>
    </row>
    <row r="70" spans="8:10" ht="13.7" customHeight="1" x14ac:dyDescent="0.25">
      <c r="H70" s="53"/>
      <c r="I70" s="53"/>
      <c r="J70" s="54"/>
    </row>
    <row r="71" spans="8:10" ht="13.7" customHeight="1" x14ac:dyDescent="0.25">
      <c r="H71" s="53"/>
      <c r="I71" s="53"/>
      <c r="J71" s="54"/>
    </row>
    <row r="72" spans="8:10" ht="13.7" customHeight="1" x14ac:dyDescent="0.25">
      <c r="H72" s="53"/>
      <c r="I72" s="53"/>
      <c r="J72" s="54"/>
    </row>
    <row r="73" spans="8:10" ht="13.7" customHeight="1" x14ac:dyDescent="0.25">
      <c r="H73" s="53"/>
      <c r="I73" s="53"/>
      <c r="J73" s="54"/>
    </row>
    <row r="74" spans="8:10" ht="13.7" customHeight="1" x14ac:dyDescent="0.25">
      <c r="H74" s="53"/>
      <c r="I74" s="53"/>
      <c r="J74" s="54"/>
    </row>
    <row r="75" spans="8:10" ht="13.7" customHeight="1" x14ac:dyDescent="0.25">
      <c r="H75" s="53"/>
      <c r="I75" s="53"/>
      <c r="J75" s="54"/>
    </row>
    <row r="76" spans="8:10" ht="13.7" customHeight="1" x14ac:dyDescent="0.25">
      <c r="H76" s="53"/>
      <c r="I76" s="53"/>
      <c r="J76" s="54"/>
    </row>
    <row r="77" spans="8:10" ht="13.7" customHeight="1" x14ac:dyDescent="0.25">
      <c r="H77" s="53"/>
      <c r="I77" s="53"/>
      <c r="J77" s="54"/>
    </row>
    <row r="78" spans="8:10" ht="13.7" customHeight="1" x14ac:dyDescent="0.25">
      <c r="H78" s="53"/>
      <c r="I78" s="53"/>
      <c r="J78" s="54"/>
    </row>
    <row r="79" spans="8:10" ht="13.7" customHeight="1" x14ac:dyDescent="0.25">
      <c r="H79" s="53"/>
      <c r="I79" s="53"/>
      <c r="J79" s="54"/>
    </row>
    <row r="80" spans="8:10" ht="13.7" customHeight="1" x14ac:dyDescent="0.25">
      <c r="H80" s="53"/>
      <c r="I80" s="53"/>
      <c r="J80" s="54"/>
    </row>
    <row r="81" spans="6:10" ht="13.7" customHeight="1" x14ac:dyDescent="0.25">
      <c r="H81" s="53"/>
      <c r="I81" s="53"/>
      <c r="J81" s="54"/>
    </row>
    <row r="82" spans="6:10" ht="13.7" customHeight="1" x14ac:dyDescent="0.25">
      <c r="H82" s="53"/>
      <c r="I82" s="53"/>
      <c r="J82" s="54"/>
    </row>
    <row r="83" spans="6:10" ht="13.7" customHeight="1" x14ac:dyDescent="0.25">
      <c r="H83" s="53"/>
      <c r="I83" s="53"/>
      <c r="J83" s="54"/>
    </row>
    <row r="84" spans="6:10" ht="13.7" customHeight="1" x14ac:dyDescent="0.25">
      <c r="H84" s="53"/>
      <c r="I84" s="53"/>
      <c r="J84" s="54"/>
    </row>
    <row r="85" spans="6:10" ht="13.7" customHeight="1" x14ac:dyDescent="0.25">
      <c r="H85" s="53"/>
      <c r="I85" s="53"/>
      <c r="J85" s="54"/>
    </row>
    <row r="86" spans="6:10" ht="13.7" customHeight="1" x14ac:dyDescent="0.25">
      <c r="F86" s="10"/>
      <c r="G86" s="10"/>
      <c r="H86" s="53"/>
      <c r="I86" s="53"/>
      <c r="J86" s="54"/>
    </row>
    <row r="87" spans="6:10" ht="13.7" customHeight="1" x14ac:dyDescent="0.25">
      <c r="F87" s="1"/>
      <c r="G87" s="1"/>
      <c r="H87" s="53"/>
      <c r="I87" s="53"/>
      <c r="J87" s="54"/>
    </row>
    <row r="88" spans="6:10" ht="13.7" customHeight="1" x14ac:dyDescent="0.25">
      <c r="F88" s="1"/>
      <c r="G88" s="1"/>
      <c r="H88" s="53"/>
      <c r="I88" s="53"/>
      <c r="J88" s="54"/>
    </row>
    <row r="89" spans="6:10" ht="13.7" customHeight="1" x14ac:dyDescent="0.25">
      <c r="F89" s="1"/>
      <c r="G89" s="1"/>
      <c r="H89" s="53"/>
      <c r="I89" s="53"/>
      <c r="J89" s="54"/>
    </row>
    <row r="90" spans="6:10" ht="13.7" customHeight="1" x14ac:dyDescent="0.25">
      <c r="F90" s="1"/>
      <c r="G90" s="1"/>
      <c r="H90" s="53"/>
      <c r="I90" s="53"/>
      <c r="J90" s="54"/>
    </row>
    <row r="91" spans="6:10" ht="24.95" customHeight="1" x14ac:dyDescent="0.25">
      <c r="H91" s="53"/>
      <c r="I91" s="53"/>
      <c r="J91" s="54"/>
    </row>
    <row r="92" spans="6:10" ht="13.7" customHeight="1" x14ac:dyDescent="0.25">
      <c r="H92" s="53"/>
      <c r="I92" s="53"/>
      <c r="J92" s="54"/>
    </row>
    <row r="93" spans="6:10" ht="13.7" customHeight="1" x14ac:dyDescent="0.25">
      <c r="H93" s="53"/>
      <c r="I93" s="53"/>
      <c r="J93" s="54"/>
    </row>
    <row r="94" spans="6:10" ht="13.7" customHeight="1" x14ac:dyDescent="0.25">
      <c r="H94" s="53"/>
      <c r="I94" s="53"/>
      <c r="J94" s="54"/>
    </row>
    <row r="95" spans="6:10" ht="13.7" customHeight="1" x14ac:dyDescent="0.25">
      <c r="H95" s="53"/>
      <c r="I95" s="53"/>
      <c r="J95" s="54"/>
    </row>
    <row r="96" spans="6:10" ht="13.7" customHeight="1" x14ac:dyDescent="0.25">
      <c r="H96" s="53"/>
      <c r="I96" s="53"/>
      <c r="J96" s="54"/>
    </row>
    <row r="97" spans="8:10" ht="13.7" customHeight="1" x14ac:dyDescent="0.25">
      <c r="H97" s="53"/>
      <c r="I97" s="53"/>
      <c r="J97" s="54"/>
    </row>
    <row r="98" spans="8:10" ht="13.7" customHeight="1" x14ac:dyDescent="0.25">
      <c r="H98" s="53"/>
      <c r="I98" s="53"/>
      <c r="J98" s="54"/>
    </row>
    <row r="99" spans="8:10" ht="13.7" customHeight="1" x14ac:dyDescent="0.25">
      <c r="H99" s="53"/>
      <c r="I99" s="53"/>
      <c r="J99" s="54"/>
    </row>
    <row r="100" spans="8:10" ht="13.7" customHeight="1" x14ac:dyDescent="0.25">
      <c r="H100" s="53"/>
      <c r="I100" s="53"/>
      <c r="J100" s="54"/>
    </row>
    <row r="101" spans="8:10" ht="13.7" customHeight="1" x14ac:dyDescent="0.25">
      <c r="H101" s="53"/>
      <c r="I101" s="53"/>
      <c r="J101" s="54"/>
    </row>
    <row r="102" spans="8:10" ht="13.7" customHeight="1" x14ac:dyDescent="0.25">
      <c r="H102" s="53"/>
      <c r="I102" s="53"/>
      <c r="J102" s="54"/>
    </row>
    <row r="103" spans="8:10" ht="13.7" customHeight="1" x14ac:dyDescent="0.25">
      <c r="H103" s="53"/>
      <c r="I103" s="53"/>
      <c r="J103" s="54"/>
    </row>
    <row r="104" spans="8:10" ht="13.7" customHeight="1" x14ac:dyDescent="0.25">
      <c r="H104" s="53"/>
      <c r="I104" s="53"/>
      <c r="J104" s="54"/>
    </row>
    <row r="105" spans="8:10" ht="13.7" customHeight="1" x14ac:dyDescent="0.25">
      <c r="H105" s="53"/>
      <c r="I105" s="53"/>
      <c r="J105" s="54"/>
    </row>
    <row r="106" spans="8:10" ht="13.7" customHeight="1" x14ac:dyDescent="0.25">
      <c r="H106" s="53"/>
      <c r="I106" s="53"/>
      <c r="J106" s="54"/>
    </row>
    <row r="107" spans="8:10" ht="13.7" customHeight="1" x14ac:dyDescent="0.25">
      <c r="H107" s="53"/>
      <c r="I107" s="53"/>
      <c r="J107" s="54"/>
    </row>
    <row r="108" spans="8:10" ht="13.7" customHeight="1" x14ac:dyDescent="0.25">
      <c r="H108" s="53"/>
      <c r="I108" s="53"/>
      <c r="J108" s="54"/>
    </row>
    <row r="109" spans="8:10" ht="13.7" customHeight="1" x14ac:dyDescent="0.25">
      <c r="H109" s="53"/>
      <c r="I109" s="53"/>
      <c r="J109" s="54"/>
    </row>
    <row r="110" spans="8:10" ht="13.7" customHeight="1" x14ac:dyDescent="0.25">
      <c r="H110" s="53"/>
      <c r="I110" s="53"/>
      <c r="J110" s="54"/>
    </row>
    <row r="111" spans="8:10" ht="13.7" customHeight="1" x14ac:dyDescent="0.25">
      <c r="H111" s="53"/>
      <c r="I111" s="53"/>
      <c r="J111" s="54"/>
    </row>
    <row r="112" spans="8:10" ht="13.7" customHeight="1" x14ac:dyDescent="0.25">
      <c r="H112" s="53"/>
      <c r="I112" s="53"/>
      <c r="J112" s="54"/>
    </row>
    <row r="113" spans="8:10" ht="13.7" customHeight="1" x14ac:dyDescent="0.25">
      <c r="H113" s="53"/>
      <c r="I113" s="53"/>
      <c r="J113" s="54"/>
    </row>
    <row r="114" spans="8:10" ht="13.7" customHeight="1" x14ac:dyDescent="0.25">
      <c r="H114" s="53"/>
      <c r="I114" s="53"/>
      <c r="J114" s="54"/>
    </row>
    <row r="115" spans="8:10" ht="13.7" customHeight="1" x14ac:dyDescent="0.25">
      <c r="H115" s="53"/>
      <c r="I115" s="53"/>
      <c r="J115" s="54"/>
    </row>
    <row r="116" spans="8:10" ht="13.7" customHeight="1" x14ac:dyDescent="0.25">
      <c r="H116" s="53"/>
      <c r="I116" s="53"/>
      <c r="J116" s="54"/>
    </row>
    <row r="117" spans="8:10" ht="13.7" customHeight="1" x14ac:dyDescent="0.25">
      <c r="H117" s="53"/>
      <c r="I117" s="53"/>
      <c r="J117" s="54"/>
    </row>
    <row r="118" spans="8:10" ht="13.7" customHeight="1" x14ac:dyDescent="0.25">
      <c r="H118" s="53"/>
      <c r="I118" s="53"/>
      <c r="J118" s="54"/>
    </row>
    <row r="119" spans="8:10" ht="13.7" customHeight="1" x14ac:dyDescent="0.25">
      <c r="H119" s="53"/>
      <c r="I119" s="53"/>
      <c r="J119" s="54"/>
    </row>
    <row r="120" spans="8:10" ht="13.7" customHeight="1" x14ac:dyDescent="0.25">
      <c r="H120" s="53"/>
      <c r="I120" s="53"/>
      <c r="J120" s="54"/>
    </row>
    <row r="121" spans="8:10" ht="13.7" customHeight="1" x14ac:dyDescent="0.25">
      <c r="H121" s="53"/>
      <c r="I121" s="53"/>
      <c r="J121" s="54"/>
    </row>
    <row r="122" spans="8:10" ht="13.7" customHeight="1" x14ac:dyDescent="0.25">
      <c r="H122" s="53"/>
      <c r="I122" s="53"/>
      <c r="J122" s="54"/>
    </row>
    <row r="123" spans="8:10" ht="13.7" customHeight="1" x14ac:dyDescent="0.25">
      <c r="H123" s="53"/>
      <c r="I123" s="53"/>
      <c r="J123" s="54"/>
    </row>
    <row r="124" spans="8:10" ht="13.7" customHeight="1" x14ac:dyDescent="0.25">
      <c r="H124" s="53"/>
      <c r="I124" s="53"/>
      <c r="J124" s="54"/>
    </row>
    <row r="125" spans="8:10" ht="13.7" customHeight="1" x14ac:dyDescent="0.25">
      <c r="H125" s="53"/>
      <c r="I125" s="53"/>
      <c r="J125" s="54"/>
    </row>
    <row r="126" spans="8:10" ht="13.7" customHeight="1" x14ac:dyDescent="0.25">
      <c r="H126" s="53"/>
      <c r="I126" s="53"/>
      <c r="J126" s="54"/>
    </row>
    <row r="127" spans="8:10" ht="13.7" customHeight="1" x14ac:dyDescent="0.25">
      <c r="H127" s="53"/>
      <c r="I127" s="53"/>
      <c r="J127" s="54"/>
    </row>
    <row r="128" spans="8:10" ht="13.7" customHeight="1" x14ac:dyDescent="0.25">
      <c r="H128" s="53"/>
      <c r="I128" s="53"/>
      <c r="J128" s="54"/>
    </row>
    <row r="129" spans="8:10" ht="13.7" customHeight="1" x14ac:dyDescent="0.25">
      <c r="H129" s="53"/>
      <c r="I129" s="53"/>
      <c r="J129" s="54"/>
    </row>
    <row r="130" spans="8:10" ht="13.7" customHeight="1" x14ac:dyDescent="0.25">
      <c r="H130" s="53"/>
      <c r="I130" s="53"/>
      <c r="J130" s="54"/>
    </row>
    <row r="131" spans="8:10" ht="13.7" customHeight="1" x14ac:dyDescent="0.25">
      <c r="H131" s="53"/>
      <c r="I131" s="53"/>
      <c r="J131" s="54"/>
    </row>
    <row r="132" spans="8:10" ht="13.7" customHeight="1" x14ac:dyDescent="0.25">
      <c r="H132" s="53"/>
      <c r="I132" s="53"/>
      <c r="J132" s="54"/>
    </row>
    <row r="133" spans="8:10" ht="13.7" customHeight="1" x14ac:dyDescent="0.25">
      <c r="H133" s="53"/>
      <c r="I133" s="53"/>
      <c r="J133" s="54"/>
    </row>
    <row r="134" spans="8:10" ht="13.7" customHeight="1" x14ac:dyDescent="0.25">
      <c r="H134" s="53"/>
      <c r="I134" s="53"/>
      <c r="J134" s="54"/>
    </row>
    <row r="135" spans="8:10" ht="13.7" customHeight="1" x14ac:dyDescent="0.25">
      <c r="H135" s="53"/>
      <c r="I135" s="53"/>
      <c r="J135" s="54"/>
    </row>
    <row r="136" spans="8:10" ht="13.7" customHeight="1" x14ac:dyDescent="0.25">
      <c r="H136" s="53"/>
      <c r="I136" s="53"/>
      <c r="J136" s="54"/>
    </row>
    <row r="137" spans="8:10" ht="13.7" customHeight="1" x14ac:dyDescent="0.25">
      <c r="H137" s="53"/>
      <c r="I137" s="53"/>
      <c r="J137" s="54"/>
    </row>
    <row r="138" spans="8:10" ht="13.7" customHeight="1" x14ac:dyDescent="0.25">
      <c r="H138" s="53"/>
      <c r="I138" s="53"/>
      <c r="J138" s="54"/>
    </row>
    <row r="139" spans="8:10" ht="13.7" customHeight="1" x14ac:dyDescent="0.25">
      <c r="H139" s="53"/>
      <c r="I139" s="53"/>
      <c r="J139" s="54"/>
    </row>
    <row r="140" spans="8:10" ht="13.7" customHeight="1" x14ac:dyDescent="0.25">
      <c r="H140" s="53"/>
      <c r="I140" s="53"/>
      <c r="J140" s="54"/>
    </row>
    <row r="141" spans="8:10" ht="13.7" customHeight="1" x14ac:dyDescent="0.25">
      <c r="H141" s="53"/>
      <c r="I141" s="53"/>
      <c r="J141" s="54"/>
    </row>
    <row r="142" spans="8:10" ht="13.7" customHeight="1" x14ac:dyDescent="0.25">
      <c r="H142" s="53"/>
      <c r="I142" s="53"/>
      <c r="J142" s="54"/>
    </row>
    <row r="143" spans="8:10" ht="13.7" customHeight="1" x14ac:dyDescent="0.25">
      <c r="H143" s="53"/>
      <c r="I143" s="53"/>
      <c r="J143" s="54"/>
    </row>
    <row r="144" spans="8:10" ht="13.7" customHeight="1" x14ac:dyDescent="0.25">
      <c r="H144" s="53"/>
      <c r="I144" s="53"/>
      <c r="J144" s="54"/>
    </row>
    <row r="145" spans="8:10" ht="13.7" customHeight="1" x14ac:dyDescent="0.25">
      <c r="H145" s="53"/>
      <c r="I145" s="53"/>
      <c r="J145" s="54"/>
    </row>
    <row r="146" spans="8:10" ht="13.7" customHeight="1" x14ac:dyDescent="0.25">
      <c r="H146" s="53"/>
      <c r="I146" s="53"/>
      <c r="J146" s="54"/>
    </row>
    <row r="147" spans="8:10" ht="13.7" customHeight="1" x14ac:dyDescent="0.25">
      <c r="H147" s="53"/>
      <c r="I147" s="53"/>
      <c r="J147" s="54"/>
    </row>
    <row r="148" spans="8:10" ht="13.7" customHeight="1" x14ac:dyDescent="0.25">
      <c r="H148" s="53"/>
      <c r="I148" s="53"/>
      <c r="J148" s="54"/>
    </row>
    <row r="149" spans="8:10" ht="13.7" customHeight="1" x14ac:dyDescent="0.25">
      <c r="H149" s="53"/>
      <c r="I149" s="53"/>
      <c r="J149" s="54"/>
    </row>
    <row r="150" spans="8:10" ht="13.7" customHeight="1" x14ac:dyDescent="0.25">
      <c r="H150" s="53"/>
      <c r="I150" s="53"/>
      <c r="J150" s="54"/>
    </row>
    <row r="151" spans="8:10" ht="13.7" customHeight="1" x14ac:dyDescent="0.25">
      <c r="H151" s="53"/>
      <c r="I151" s="53"/>
      <c r="J151" s="54"/>
    </row>
    <row r="152" spans="8:10" ht="13.7" customHeight="1" x14ac:dyDescent="0.25">
      <c r="H152" s="53"/>
      <c r="I152" s="53"/>
      <c r="J152" s="54"/>
    </row>
    <row r="153" spans="8:10" ht="13.7" customHeight="1" x14ac:dyDescent="0.25">
      <c r="H153" s="53"/>
      <c r="I153" s="53"/>
      <c r="J153" s="54"/>
    </row>
    <row r="154" spans="8:10" ht="13.7" customHeight="1" x14ac:dyDescent="0.25">
      <c r="H154" s="53"/>
      <c r="I154" s="53"/>
      <c r="J154" s="54"/>
    </row>
    <row r="155" spans="8:10" ht="13.7" customHeight="1" x14ac:dyDescent="0.25">
      <c r="H155" s="53"/>
      <c r="I155" s="53"/>
      <c r="J155" s="54"/>
    </row>
    <row r="156" spans="8:10" ht="13.7" customHeight="1" x14ac:dyDescent="0.25">
      <c r="H156" s="53"/>
      <c r="I156" s="53"/>
      <c r="J156" s="54"/>
    </row>
    <row r="157" spans="8:10" ht="13.7" customHeight="1" x14ac:dyDescent="0.25">
      <c r="H157" s="53"/>
      <c r="I157" s="53"/>
      <c r="J157" s="54"/>
    </row>
    <row r="158" spans="8:10" ht="13.7" customHeight="1" x14ac:dyDescent="0.25">
      <c r="H158" s="53"/>
      <c r="I158" s="53"/>
      <c r="J158" s="54"/>
    </row>
    <row r="159" spans="8:10" ht="13.7" customHeight="1" x14ac:dyDescent="0.25"/>
    <row r="160" spans="8:10" ht="13.7" customHeight="1" x14ac:dyDescent="0.25"/>
    <row r="161" spans="3:10" ht="13.7" customHeight="1" x14ac:dyDescent="0.25"/>
    <row r="162" spans="3:10" ht="13.7" customHeight="1" x14ac:dyDescent="0.25"/>
    <row r="163" spans="3:10" ht="13.7" customHeight="1" x14ac:dyDescent="0.25"/>
    <row r="164" spans="3:10" ht="13.7" customHeight="1" x14ac:dyDescent="0.25"/>
    <row r="165" spans="3:10" ht="13.7" customHeight="1" x14ac:dyDescent="0.25"/>
    <row r="166" spans="3:10" ht="13.7" customHeight="1" x14ac:dyDescent="0.25"/>
    <row r="167" spans="3:10" ht="13.7" customHeight="1" x14ac:dyDescent="0.25">
      <c r="C167" s="2"/>
      <c r="D167" s="2"/>
      <c r="E167" s="2"/>
      <c r="F167" s="2"/>
      <c r="G167" s="2"/>
    </row>
    <row r="168" spans="3:10" ht="13.7" customHeight="1" x14ac:dyDescent="0.25">
      <c r="C168" s="2"/>
      <c r="D168" s="2"/>
      <c r="E168" s="2"/>
      <c r="F168" s="2"/>
      <c r="G168" s="2"/>
      <c r="H168" s="2"/>
      <c r="I168" s="2"/>
      <c r="J168" s="55"/>
    </row>
    <row r="169" spans="3:10" ht="13.7" customHeight="1" x14ac:dyDescent="0.25">
      <c r="C169" s="2"/>
      <c r="D169" s="2"/>
      <c r="E169" s="2"/>
      <c r="F169" s="2"/>
      <c r="G169" s="2"/>
      <c r="H169" s="2"/>
      <c r="I169" s="2"/>
      <c r="J169" s="55"/>
    </row>
    <row r="170" spans="3:10" ht="13.7" customHeight="1" x14ac:dyDescent="0.25">
      <c r="C170" s="2"/>
      <c r="D170" s="2"/>
      <c r="E170" s="2"/>
      <c r="F170" s="2"/>
      <c r="G170" s="2"/>
      <c r="H170" s="2"/>
      <c r="I170" s="2"/>
      <c r="J170" s="55"/>
    </row>
    <row r="171" spans="3:10" ht="13.7" customHeight="1" x14ac:dyDescent="0.25">
      <c r="C171" s="2"/>
      <c r="D171" s="2"/>
      <c r="E171" s="2"/>
      <c r="F171" s="2"/>
      <c r="G171" s="2"/>
      <c r="H171" s="2"/>
      <c r="I171" s="2"/>
      <c r="J171" s="55"/>
    </row>
    <row r="172" spans="3:10" ht="13.7" customHeight="1" x14ac:dyDescent="0.25">
      <c r="C172" s="2"/>
      <c r="D172" s="2"/>
      <c r="E172" s="2"/>
      <c r="F172" s="2"/>
      <c r="G172" s="2"/>
      <c r="H172" s="2"/>
      <c r="I172" s="2"/>
      <c r="J172" s="55"/>
    </row>
    <row r="173" spans="3:10" ht="13.7" customHeight="1" x14ac:dyDescent="0.25">
      <c r="C173" s="2"/>
      <c r="D173" s="2"/>
      <c r="E173" s="2"/>
      <c r="F173" s="2"/>
      <c r="G173" s="2"/>
      <c r="H173" s="2"/>
      <c r="I173" s="2"/>
      <c r="J173" s="55"/>
    </row>
    <row r="174" spans="3:10" ht="13.7" customHeight="1" x14ac:dyDescent="0.25">
      <c r="C174" s="2"/>
      <c r="D174" s="2"/>
      <c r="E174" s="2"/>
      <c r="F174" s="2"/>
      <c r="G174" s="2"/>
      <c r="H174" s="2"/>
      <c r="I174" s="2"/>
      <c r="J174" s="55"/>
    </row>
    <row r="175" spans="3:10" ht="13.7" customHeight="1" x14ac:dyDescent="0.25">
      <c r="C175" s="2"/>
      <c r="D175" s="2"/>
      <c r="E175" s="2"/>
      <c r="F175" s="2"/>
      <c r="G175" s="2"/>
      <c r="H175" s="2"/>
      <c r="I175" s="2"/>
      <c r="J175" s="55"/>
    </row>
    <row r="176" spans="3:10" ht="13.7" customHeight="1" x14ac:dyDescent="0.25">
      <c r="C176" s="2"/>
      <c r="D176" s="2"/>
      <c r="E176" s="2"/>
      <c r="F176" s="2"/>
      <c r="G176" s="2"/>
      <c r="H176" s="2"/>
      <c r="I176" s="2"/>
      <c r="J176" s="55"/>
    </row>
    <row r="177" spans="3:10" ht="13.7" customHeight="1" x14ac:dyDescent="0.25">
      <c r="C177" s="2"/>
      <c r="D177" s="2"/>
      <c r="E177" s="2"/>
      <c r="F177" s="2"/>
      <c r="G177" s="2"/>
      <c r="H177" s="2"/>
      <c r="I177" s="2"/>
      <c r="J177" s="55"/>
    </row>
    <row r="178" spans="3:10" ht="13.7" customHeight="1" x14ac:dyDescent="0.25">
      <c r="C178" s="2"/>
      <c r="D178" s="2"/>
      <c r="E178" s="2"/>
      <c r="F178" s="2"/>
      <c r="G178" s="2"/>
      <c r="H178" s="2"/>
      <c r="I178" s="2"/>
      <c r="J178" s="55"/>
    </row>
    <row r="179" spans="3:10" ht="13.7" customHeight="1" x14ac:dyDescent="0.25">
      <c r="C179" s="2"/>
      <c r="D179" s="2"/>
      <c r="E179" s="2"/>
      <c r="F179" s="2"/>
      <c r="G179" s="2"/>
      <c r="H179" s="2"/>
      <c r="I179" s="2"/>
      <c r="J179" s="55"/>
    </row>
    <row r="180" spans="3:10" ht="13.7" customHeight="1" x14ac:dyDescent="0.25">
      <c r="C180" s="1"/>
      <c r="D180" s="1"/>
      <c r="E180" s="1"/>
      <c r="F180" s="1"/>
      <c r="G180" s="1"/>
      <c r="H180" s="2"/>
      <c r="I180" s="2"/>
      <c r="J180" s="55"/>
    </row>
    <row r="181" spans="3:10" x14ac:dyDescent="0.25">
      <c r="C181" s="1"/>
      <c r="D181" s="1"/>
      <c r="E181" s="1"/>
      <c r="F181" s="1"/>
      <c r="G181" s="1"/>
      <c r="H181" s="1"/>
      <c r="I181" s="1"/>
      <c r="J181" s="47"/>
    </row>
    <row r="182" spans="3:10" x14ac:dyDescent="0.25">
      <c r="C182" s="1"/>
      <c r="D182" s="1"/>
      <c r="E182" s="1"/>
      <c r="F182" s="1"/>
      <c r="G182" s="1"/>
      <c r="H182" s="1"/>
      <c r="I182" s="1"/>
      <c r="J182" s="47"/>
    </row>
    <row r="183" spans="3:10" x14ac:dyDescent="0.25">
      <c r="H183" s="1"/>
      <c r="I183" s="1"/>
      <c r="J183" s="47"/>
    </row>
  </sheetData>
  <autoFilter ref="H5:J5"/>
  <mergeCells count="1">
    <mergeCell ref="H4:J4"/>
  </mergeCells>
  <hyperlinks>
    <hyperlink ref="D4" tooltip="Run drill-through queries" display="CY"/>
    <hyperlink ref="D5" tooltip="Run drill-through queries"/>
  </hyperlinks>
  <pageMargins left="0.75" right="0.75" top="1" bottom="1" header="0.5" footer="0.5"/>
  <pageSetup scale="72" orientation="landscape" r:id="rId1"/>
  <headerFooter alignWithMargins="0"/>
  <customProperties>
    <customPr name="TGK_SHEET_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IT141"/>
  <sheetViews>
    <sheetView showGridLines="0" showRowColHeaders="0" zoomScaleNormal="100" workbookViewId="0"/>
  </sheetViews>
  <sheetFormatPr defaultRowHeight="15" outlineLevelRow="1" x14ac:dyDescent="0.25"/>
  <cols>
    <col min="1" max="1" width="1.85546875" customWidth="1"/>
    <col min="2" max="2" width="35" customWidth="1"/>
    <col min="3" max="4" width="14.85546875" customWidth="1"/>
    <col min="5" max="5" width="1.7109375" customWidth="1"/>
    <col min="6" max="7" width="14.85546875" customWidth="1"/>
    <col min="8" max="14" width="12.7109375" customWidth="1"/>
    <col min="15" max="15" width="1.42578125" customWidth="1"/>
  </cols>
  <sheetData>
    <row r="1" spans="1:15" s="1" customFormat="1" ht="20.65" customHeight="1" x14ac:dyDescent="0.25">
      <c r="B1" s="58" t="s">
        <v>126</v>
      </c>
    </row>
    <row r="2" spans="1:15" s="1" customFormat="1" ht="15" customHeight="1" x14ac:dyDescent="0.25">
      <c r="B2" s="8"/>
      <c r="C2" s="8"/>
      <c r="E2" s="82"/>
      <c r="F2" s="82"/>
      <c r="G2" s="82"/>
      <c r="H2" s="82"/>
      <c r="I2" s="82"/>
    </row>
    <row r="3" spans="1:15" s="1" customFormat="1" ht="21.75" hidden="1" customHeight="1" x14ac:dyDescent="0.25">
      <c r="A3" s="61"/>
      <c r="B3" s="83"/>
      <c r="C3" s="83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</row>
    <row r="4" spans="1:15" s="1" customFormat="1" ht="21.75" hidden="1" customHeight="1" x14ac:dyDescent="0.25">
      <c r="A4" s="61"/>
      <c r="B4" s="62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</row>
    <row r="5" spans="1:15" s="1" customFormat="1" ht="14.25" hidden="1" x14ac:dyDescent="0.25">
      <c r="B5" s="63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5"/>
    </row>
    <row r="6" spans="1:15" s="1" customFormat="1" ht="14.25" hidden="1" x14ac:dyDescent="0.25"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7"/>
    </row>
    <row r="7" spans="1:15" s="68" customFormat="1" ht="20.45" customHeight="1" collapsed="1" thickBot="1" x14ac:dyDescent="0.3">
      <c r="B7"/>
      <c r="C7" s="14" t="s">
        <v>40</v>
      </c>
      <c r="D7" s="14" t="s">
        <v>101</v>
      </c>
      <c r="E7" s="15"/>
      <c r="F7" s="14" t="s">
        <v>120</v>
      </c>
      <c r="G7" s="14" t="s">
        <v>121</v>
      </c>
      <c r="H7" s="13"/>
      <c r="I7" s="13"/>
      <c r="J7" s="13"/>
      <c r="K7" s="13"/>
      <c r="L7" s="13"/>
      <c r="M7" s="13"/>
      <c r="N7" s="13"/>
      <c r="O7" s="2"/>
    </row>
    <row r="8" spans="1:15" s="68" customFormat="1" hidden="1" outlineLevel="1" thickTop="1" x14ac:dyDescent="0.25">
      <c r="B8" s="16" t="s">
        <v>41</v>
      </c>
      <c r="C8" s="31">
        <v>1000</v>
      </c>
      <c r="D8" s="31">
        <v>1000</v>
      </c>
      <c r="E8" s="35"/>
      <c r="F8" s="31">
        <f t="shared" ref="F8:F13" si="0">C8-D8</f>
        <v>0</v>
      </c>
      <c r="G8" s="31">
        <f t="shared" ref="G8:G39" si="1">IF(D8=0, 0, (C8-D8)/ABS(D8))</f>
        <v>0</v>
      </c>
      <c r="H8" s="4"/>
      <c r="I8" s="4"/>
      <c r="J8" s="4"/>
      <c r="K8" s="4"/>
      <c r="L8" s="4"/>
      <c r="M8" s="4"/>
      <c r="N8" s="4"/>
      <c r="O8" s="2"/>
    </row>
    <row r="9" spans="1:15" s="68" customFormat="1" ht="14.25" hidden="1" outlineLevel="1" x14ac:dyDescent="0.25">
      <c r="B9" s="16" t="s">
        <v>42</v>
      </c>
      <c r="C9" s="31">
        <v>1000</v>
      </c>
      <c r="D9" s="31">
        <v>1000</v>
      </c>
      <c r="E9" s="35"/>
      <c r="F9" s="31">
        <f t="shared" si="0"/>
        <v>0</v>
      </c>
      <c r="G9" s="31">
        <f t="shared" si="1"/>
        <v>0</v>
      </c>
      <c r="H9" s="4"/>
      <c r="I9" s="4"/>
      <c r="J9" s="4"/>
      <c r="K9" s="4"/>
      <c r="L9" s="4"/>
      <c r="M9" s="4"/>
      <c r="N9" s="4"/>
      <c r="O9" s="2"/>
    </row>
    <row r="10" spans="1:15" s="68" customFormat="1" ht="14.25" hidden="1" outlineLevel="1" x14ac:dyDescent="0.25">
      <c r="B10" s="16" t="s">
        <v>43</v>
      </c>
      <c r="C10" s="31">
        <v>1000</v>
      </c>
      <c r="D10" s="31">
        <v>1000</v>
      </c>
      <c r="E10" s="35"/>
      <c r="F10" s="31">
        <f t="shared" si="0"/>
        <v>0</v>
      </c>
      <c r="G10" s="31">
        <f t="shared" si="1"/>
        <v>0</v>
      </c>
      <c r="H10" s="4"/>
      <c r="I10" s="4"/>
      <c r="J10" s="4"/>
      <c r="K10" s="4"/>
      <c r="L10" s="4"/>
      <c r="M10" s="4"/>
      <c r="N10" s="4"/>
      <c r="O10" s="2"/>
    </row>
    <row r="11" spans="1:15" s="68" customFormat="1" ht="14.25" hidden="1" outlineLevel="1" x14ac:dyDescent="0.25">
      <c r="B11" s="16" t="s">
        <v>44</v>
      </c>
      <c r="C11" s="31">
        <v>1000</v>
      </c>
      <c r="D11" s="31">
        <v>1000</v>
      </c>
      <c r="E11" s="35"/>
      <c r="F11" s="31">
        <f t="shared" si="0"/>
        <v>0</v>
      </c>
      <c r="G11" s="31">
        <f t="shared" si="1"/>
        <v>0</v>
      </c>
      <c r="H11" s="4"/>
      <c r="I11" s="4"/>
      <c r="J11" s="4"/>
      <c r="K11" s="4"/>
      <c r="L11" s="4"/>
      <c r="M11" s="4"/>
      <c r="N11" s="4"/>
      <c r="O11" s="2"/>
    </row>
    <row r="12" spans="1:15" s="68" customFormat="1" ht="14.25" hidden="1" outlineLevel="1" x14ac:dyDescent="0.25">
      <c r="B12" s="16" t="s">
        <v>45</v>
      </c>
      <c r="C12" s="31">
        <v>1000</v>
      </c>
      <c r="D12" s="31">
        <v>1000</v>
      </c>
      <c r="E12" s="35"/>
      <c r="F12" s="31">
        <f t="shared" si="0"/>
        <v>0</v>
      </c>
      <c r="G12" s="31">
        <f t="shared" si="1"/>
        <v>0</v>
      </c>
      <c r="H12" s="4"/>
      <c r="I12" s="4"/>
      <c r="J12" s="4"/>
      <c r="K12" s="4"/>
      <c r="L12" s="4"/>
      <c r="M12" s="4"/>
      <c r="N12" s="4"/>
      <c r="O12" s="2"/>
    </row>
    <row r="13" spans="1:15" s="68" customFormat="1" ht="14.25" hidden="1" outlineLevel="1" x14ac:dyDescent="0.25">
      <c r="B13" s="16" t="s">
        <v>46</v>
      </c>
      <c r="C13" s="31">
        <v>1000</v>
      </c>
      <c r="D13" s="31">
        <v>1000</v>
      </c>
      <c r="E13" s="35"/>
      <c r="F13" s="31">
        <f t="shared" si="0"/>
        <v>0</v>
      </c>
      <c r="G13" s="31">
        <f t="shared" si="1"/>
        <v>0</v>
      </c>
      <c r="H13" s="4"/>
      <c r="I13" s="4"/>
      <c r="J13" s="4"/>
      <c r="K13" s="4"/>
      <c r="L13" s="4"/>
      <c r="M13" s="4"/>
      <c r="N13" s="4"/>
      <c r="O13" s="2"/>
    </row>
    <row r="14" spans="1:15" s="68" customFormat="1" ht="15" customHeight="1" collapsed="1" thickTop="1" x14ac:dyDescent="0.25">
      <c r="B14" s="22" t="s">
        <v>47</v>
      </c>
      <c r="C14" s="19">
        <f>SUBTOTAL(9, C8:C13)</f>
        <v>6000</v>
      </c>
      <c r="D14" s="19">
        <f>SUBTOTAL(9, D8:D13)</f>
        <v>6000</v>
      </c>
      <c r="E14" s="20"/>
      <c r="F14" s="19">
        <f>SUBTOTAL(9, F8:F13)</f>
        <v>0</v>
      </c>
      <c r="G14" s="19">
        <f t="shared" si="1"/>
        <v>0</v>
      </c>
      <c r="H14" s="4"/>
      <c r="I14" s="4"/>
      <c r="J14" s="4"/>
      <c r="K14" s="4"/>
      <c r="L14" s="4"/>
      <c r="M14" s="4"/>
      <c r="N14" s="4"/>
      <c r="O14" s="2"/>
    </row>
    <row r="15" spans="1:15" s="68" customFormat="1" ht="15" hidden="1" customHeight="1" outlineLevel="1" x14ac:dyDescent="0.25">
      <c r="B15" s="16" t="s">
        <v>48</v>
      </c>
      <c r="C15" s="31">
        <v>1000</v>
      </c>
      <c r="D15" s="31">
        <v>1000</v>
      </c>
      <c r="E15" s="35"/>
      <c r="F15" s="31">
        <f t="shared" ref="F15:F24" si="2">C15-D15</f>
        <v>0</v>
      </c>
      <c r="G15" s="31">
        <f t="shared" si="1"/>
        <v>0</v>
      </c>
      <c r="H15" s="4"/>
      <c r="I15" s="4"/>
      <c r="J15" s="4"/>
      <c r="K15" s="4"/>
      <c r="L15" s="4"/>
      <c r="M15" s="4"/>
      <c r="N15" s="4"/>
      <c r="O15" s="2"/>
    </row>
    <row r="16" spans="1:15" s="68" customFormat="1" ht="15" hidden="1" customHeight="1" outlineLevel="1" x14ac:dyDescent="0.25">
      <c r="B16" s="16" t="s">
        <v>49</v>
      </c>
      <c r="C16" s="31">
        <v>1000</v>
      </c>
      <c r="D16" s="31">
        <v>1000</v>
      </c>
      <c r="E16" s="35"/>
      <c r="F16" s="31">
        <f t="shared" si="2"/>
        <v>0</v>
      </c>
      <c r="G16" s="31">
        <f t="shared" si="1"/>
        <v>0</v>
      </c>
      <c r="H16" s="4"/>
      <c r="I16" s="4"/>
      <c r="J16" s="4"/>
      <c r="K16" s="4"/>
      <c r="L16" s="4"/>
      <c r="M16" s="4"/>
      <c r="N16" s="4"/>
      <c r="O16" s="2"/>
    </row>
    <row r="17" spans="2:15" s="68" customFormat="1" ht="15" hidden="1" customHeight="1" outlineLevel="1" x14ac:dyDescent="0.25">
      <c r="B17" s="16" t="s">
        <v>50</v>
      </c>
      <c r="C17" s="31">
        <v>1000</v>
      </c>
      <c r="D17" s="31">
        <v>1000</v>
      </c>
      <c r="E17" s="35"/>
      <c r="F17" s="31">
        <f t="shared" si="2"/>
        <v>0</v>
      </c>
      <c r="G17" s="31">
        <f t="shared" si="1"/>
        <v>0</v>
      </c>
      <c r="H17" s="4"/>
      <c r="I17" s="4"/>
      <c r="J17" s="4"/>
      <c r="K17" s="4"/>
      <c r="L17" s="4"/>
      <c r="M17" s="4"/>
      <c r="N17" s="4"/>
      <c r="O17" s="2"/>
    </row>
    <row r="18" spans="2:15" s="69" customFormat="1" ht="15" hidden="1" customHeight="1" outlineLevel="1" x14ac:dyDescent="0.25">
      <c r="B18" s="16" t="s">
        <v>51</v>
      </c>
      <c r="C18" s="31">
        <v>1000</v>
      </c>
      <c r="D18" s="31">
        <v>1000</v>
      </c>
      <c r="E18" s="35"/>
      <c r="F18" s="31">
        <f t="shared" si="2"/>
        <v>0</v>
      </c>
      <c r="G18" s="31">
        <f t="shared" si="1"/>
        <v>0</v>
      </c>
      <c r="H18" s="4"/>
      <c r="I18" s="4"/>
      <c r="J18" s="4"/>
      <c r="K18" s="4"/>
      <c r="L18" s="4"/>
      <c r="M18" s="4"/>
      <c r="N18" s="4"/>
      <c r="O18" s="2"/>
    </row>
    <row r="19" spans="2:15" s="68" customFormat="1" ht="15" hidden="1" customHeight="1" outlineLevel="1" x14ac:dyDescent="0.25">
      <c r="B19" s="16" t="s">
        <v>52</v>
      </c>
      <c r="C19" s="31">
        <v>1000</v>
      </c>
      <c r="D19" s="31">
        <v>1000</v>
      </c>
      <c r="E19" s="35"/>
      <c r="F19" s="31">
        <f t="shared" si="2"/>
        <v>0</v>
      </c>
      <c r="G19" s="31">
        <f t="shared" si="1"/>
        <v>0</v>
      </c>
      <c r="H19" s="4"/>
      <c r="I19" s="4"/>
      <c r="J19" s="4"/>
      <c r="K19" s="4"/>
      <c r="L19" s="4"/>
      <c r="M19" s="4"/>
      <c r="N19" s="4"/>
      <c r="O19" s="2"/>
    </row>
    <row r="20" spans="2:15" s="68" customFormat="1" ht="15" hidden="1" customHeight="1" outlineLevel="1" x14ac:dyDescent="0.25">
      <c r="B20" s="16" t="s">
        <v>53</v>
      </c>
      <c r="C20" s="31">
        <v>1000</v>
      </c>
      <c r="D20" s="31">
        <v>1000</v>
      </c>
      <c r="E20" s="35"/>
      <c r="F20" s="31">
        <f t="shared" si="2"/>
        <v>0</v>
      </c>
      <c r="G20" s="31">
        <f t="shared" si="1"/>
        <v>0</v>
      </c>
      <c r="H20" s="4"/>
      <c r="I20" s="4"/>
      <c r="J20" s="4"/>
      <c r="K20" s="4"/>
      <c r="L20" s="4"/>
      <c r="M20" s="4"/>
      <c r="N20" s="4"/>
      <c r="O20" s="2"/>
    </row>
    <row r="21" spans="2:15" s="68" customFormat="1" ht="15" hidden="1" customHeight="1" outlineLevel="1" x14ac:dyDescent="0.25">
      <c r="B21" s="16" t="s">
        <v>54</v>
      </c>
      <c r="C21" s="31">
        <v>1000</v>
      </c>
      <c r="D21" s="31">
        <v>1000</v>
      </c>
      <c r="E21" s="35"/>
      <c r="F21" s="31">
        <f t="shared" si="2"/>
        <v>0</v>
      </c>
      <c r="G21" s="31">
        <f t="shared" si="1"/>
        <v>0</v>
      </c>
      <c r="H21" s="4"/>
      <c r="I21" s="4"/>
      <c r="J21" s="4"/>
      <c r="K21" s="4"/>
      <c r="L21" s="4"/>
      <c r="M21" s="4"/>
      <c r="N21" s="4"/>
      <c r="O21" s="2"/>
    </row>
    <row r="22" spans="2:15" s="68" customFormat="1" ht="15" hidden="1" customHeight="1" outlineLevel="1" x14ac:dyDescent="0.25">
      <c r="B22" s="16" t="s">
        <v>37</v>
      </c>
      <c r="C22" s="31">
        <v>1000</v>
      </c>
      <c r="D22" s="31">
        <v>1000</v>
      </c>
      <c r="E22" s="35"/>
      <c r="F22" s="31">
        <f t="shared" si="2"/>
        <v>0</v>
      </c>
      <c r="G22" s="31">
        <f t="shared" si="1"/>
        <v>0</v>
      </c>
      <c r="H22" s="4"/>
      <c r="I22" s="4"/>
      <c r="J22" s="4"/>
      <c r="K22" s="4"/>
      <c r="L22" s="4"/>
      <c r="M22" s="4"/>
      <c r="N22" s="4"/>
      <c r="O22" s="2"/>
    </row>
    <row r="23" spans="2:15" s="68" customFormat="1" ht="15" hidden="1" customHeight="1" outlineLevel="1" x14ac:dyDescent="0.25">
      <c r="B23" s="16" t="s">
        <v>55</v>
      </c>
      <c r="C23" s="31">
        <v>1000</v>
      </c>
      <c r="D23" s="31">
        <v>1000</v>
      </c>
      <c r="E23" s="35"/>
      <c r="F23" s="31">
        <f t="shared" si="2"/>
        <v>0</v>
      </c>
      <c r="G23" s="31">
        <f t="shared" si="1"/>
        <v>0</v>
      </c>
      <c r="H23" s="4"/>
      <c r="I23" s="4"/>
      <c r="J23" s="4"/>
      <c r="K23" s="4"/>
      <c r="L23" s="4"/>
      <c r="M23" s="4"/>
      <c r="N23" s="4"/>
      <c r="O23" s="2"/>
    </row>
    <row r="24" spans="2:15" s="68" customFormat="1" ht="15" hidden="1" customHeight="1" outlineLevel="1" x14ac:dyDescent="0.25">
      <c r="B24" s="16" t="s">
        <v>56</v>
      </c>
      <c r="C24" s="31">
        <v>1000</v>
      </c>
      <c r="D24" s="31">
        <v>1000</v>
      </c>
      <c r="E24" s="35"/>
      <c r="F24" s="31">
        <f t="shared" si="2"/>
        <v>0</v>
      </c>
      <c r="G24" s="31">
        <f t="shared" si="1"/>
        <v>0</v>
      </c>
      <c r="H24" s="4"/>
      <c r="I24" s="4"/>
      <c r="J24" s="4"/>
      <c r="K24" s="4"/>
      <c r="L24" s="4"/>
      <c r="M24" s="4"/>
      <c r="N24" s="4"/>
      <c r="O24" s="2"/>
    </row>
    <row r="25" spans="2:15" s="68" customFormat="1" ht="15" customHeight="1" collapsed="1" x14ac:dyDescent="0.25">
      <c r="B25" s="22" t="s">
        <v>57</v>
      </c>
      <c r="C25" s="19">
        <f>SUBTOTAL(9, C15:C24)</f>
        <v>10000</v>
      </c>
      <c r="D25" s="19">
        <f>SUBTOTAL(9, D15:D24)</f>
        <v>10000</v>
      </c>
      <c r="E25" s="20"/>
      <c r="F25" s="19">
        <f>SUBTOTAL(9, F15:F24)</f>
        <v>0</v>
      </c>
      <c r="G25" s="19">
        <f t="shared" si="1"/>
        <v>0</v>
      </c>
      <c r="H25" s="4"/>
      <c r="I25" s="4"/>
      <c r="J25" s="4"/>
      <c r="K25" s="4"/>
      <c r="L25" s="4"/>
      <c r="M25" s="4"/>
      <c r="N25" s="4"/>
      <c r="O25" s="2"/>
    </row>
    <row r="26" spans="2:15" s="68" customFormat="1" ht="15" hidden="1" customHeight="1" outlineLevel="1" x14ac:dyDescent="0.25">
      <c r="B26" s="16" t="s">
        <v>139</v>
      </c>
      <c r="C26" s="31">
        <v>1000</v>
      </c>
      <c r="D26" s="31">
        <v>1000</v>
      </c>
      <c r="E26" s="35"/>
      <c r="F26" s="31">
        <f t="shared" ref="F26:F57" si="3">C26-D26</f>
        <v>0</v>
      </c>
      <c r="G26" s="31">
        <f t="shared" si="1"/>
        <v>0</v>
      </c>
      <c r="H26" s="4"/>
      <c r="I26" s="4"/>
      <c r="J26" s="4"/>
      <c r="K26" s="4"/>
      <c r="L26" s="4"/>
      <c r="M26" s="4"/>
      <c r="N26" s="4"/>
      <c r="O26" s="2"/>
    </row>
    <row r="27" spans="2:15" s="68" customFormat="1" ht="15" hidden="1" customHeight="1" outlineLevel="1" x14ac:dyDescent="0.25">
      <c r="B27" s="16" t="s">
        <v>140</v>
      </c>
      <c r="C27" s="31">
        <v>1000</v>
      </c>
      <c r="D27" s="31">
        <v>1000</v>
      </c>
      <c r="E27" s="35"/>
      <c r="F27" s="31">
        <f t="shared" si="3"/>
        <v>0</v>
      </c>
      <c r="G27" s="31">
        <f t="shared" si="1"/>
        <v>0</v>
      </c>
      <c r="H27" s="4"/>
      <c r="I27" s="4"/>
      <c r="J27" s="4"/>
      <c r="K27" s="4"/>
      <c r="L27" s="4"/>
      <c r="M27" s="4"/>
      <c r="N27" s="4"/>
      <c r="O27" s="2"/>
    </row>
    <row r="28" spans="2:15" s="68" customFormat="1" ht="15" hidden="1" customHeight="1" outlineLevel="1" x14ac:dyDescent="0.25">
      <c r="B28" s="16" t="s">
        <v>58</v>
      </c>
      <c r="C28" s="31">
        <v>1000</v>
      </c>
      <c r="D28" s="31">
        <v>1000</v>
      </c>
      <c r="E28" s="35"/>
      <c r="F28" s="31">
        <f t="shared" si="3"/>
        <v>0</v>
      </c>
      <c r="G28" s="31">
        <f t="shared" si="1"/>
        <v>0</v>
      </c>
      <c r="H28" s="4"/>
      <c r="I28" s="4"/>
      <c r="J28" s="4"/>
      <c r="K28" s="4"/>
      <c r="L28" s="4"/>
      <c r="M28" s="4"/>
      <c r="N28" s="4"/>
      <c r="O28" s="2"/>
    </row>
    <row r="29" spans="2:15" s="68" customFormat="1" ht="15" hidden="1" customHeight="1" outlineLevel="1" x14ac:dyDescent="0.25">
      <c r="B29" s="16" t="s">
        <v>59</v>
      </c>
      <c r="C29" s="31">
        <v>1000</v>
      </c>
      <c r="D29" s="31">
        <v>1000</v>
      </c>
      <c r="E29" s="35"/>
      <c r="F29" s="31">
        <f t="shared" si="3"/>
        <v>0</v>
      </c>
      <c r="G29" s="31">
        <f t="shared" si="1"/>
        <v>0</v>
      </c>
      <c r="H29" s="4"/>
      <c r="I29" s="4"/>
      <c r="J29" s="4"/>
      <c r="K29" s="4"/>
      <c r="L29" s="4"/>
      <c r="M29" s="4"/>
      <c r="N29" s="4"/>
      <c r="O29" s="2"/>
    </row>
    <row r="30" spans="2:15" s="68" customFormat="1" ht="15" hidden="1" customHeight="1" outlineLevel="1" x14ac:dyDescent="0.25">
      <c r="B30" s="16" t="s">
        <v>60</v>
      </c>
      <c r="C30" s="31">
        <v>1000</v>
      </c>
      <c r="D30" s="31">
        <v>1000</v>
      </c>
      <c r="E30" s="35"/>
      <c r="F30" s="31">
        <f t="shared" si="3"/>
        <v>0</v>
      </c>
      <c r="G30" s="31">
        <f t="shared" si="1"/>
        <v>0</v>
      </c>
      <c r="H30" s="4"/>
      <c r="I30" s="4"/>
      <c r="J30" s="4"/>
      <c r="K30" s="4"/>
      <c r="L30" s="4"/>
      <c r="M30" s="4"/>
      <c r="N30" s="4"/>
      <c r="O30" s="2"/>
    </row>
    <row r="31" spans="2:15" s="68" customFormat="1" ht="15" hidden="1" customHeight="1" outlineLevel="1" x14ac:dyDescent="0.25">
      <c r="B31" s="16" t="s">
        <v>61</v>
      </c>
      <c r="C31" s="31">
        <v>1000</v>
      </c>
      <c r="D31" s="31">
        <v>1000</v>
      </c>
      <c r="E31" s="35"/>
      <c r="F31" s="31">
        <f t="shared" si="3"/>
        <v>0</v>
      </c>
      <c r="G31" s="31">
        <f t="shared" si="1"/>
        <v>0</v>
      </c>
      <c r="H31" s="4"/>
      <c r="I31" s="4"/>
      <c r="J31" s="4"/>
      <c r="K31" s="4"/>
      <c r="L31" s="4"/>
      <c r="M31" s="4"/>
      <c r="N31" s="4"/>
      <c r="O31" s="2"/>
    </row>
    <row r="32" spans="2:15" s="68" customFormat="1" ht="15" hidden="1" customHeight="1" outlineLevel="1" x14ac:dyDescent="0.25">
      <c r="B32" s="16" t="s">
        <v>62</v>
      </c>
      <c r="C32" s="31">
        <v>1000</v>
      </c>
      <c r="D32" s="31">
        <v>1000</v>
      </c>
      <c r="E32" s="35"/>
      <c r="F32" s="31">
        <f t="shared" si="3"/>
        <v>0</v>
      </c>
      <c r="G32" s="31">
        <f t="shared" si="1"/>
        <v>0</v>
      </c>
      <c r="H32" s="4"/>
      <c r="I32" s="4"/>
      <c r="J32" s="4"/>
      <c r="K32" s="4"/>
      <c r="L32" s="4"/>
      <c r="M32" s="4"/>
      <c r="N32" s="4"/>
      <c r="O32" s="2"/>
    </row>
    <row r="33" spans="2:15" s="68" customFormat="1" ht="15" hidden="1" customHeight="1" outlineLevel="1" x14ac:dyDescent="0.25">
      <c r="B33" s="16" t="s">
        <v>63</v>
      </c>
      <c r="C33" s="31">
        <v>1000</v>
      </c>
      <c r="D33" s="31">
        <v>1000</v>
      </c>
      <c r="E33" s="35"/>
      <c r="F33" s="31">
        <f t="shared" si="3"/>
        <v>0</v>
      </c>
      <c r="G33" s="31">
        <f t="shared" si="1"/>
        <v>0</v>
      </c>
      <c r="H33" s="4"/>
      <c r="I33" s="4"/>
      <c r="J33" s="4"/>
      <c r="K33" s="4"/>
      <c r="L33" s="4"/>
      <c r="M33" s="4"/>
      <c r="N33" s="4"/>
      <c r="O33" s="2"/>
    </row>
    <row r="34" spans="2:15" s="68" customFormat="1" ht="15" hidden="1" customHeight="1" outlineLevel="1" x14ac:dyDescent="0.25">
      <c r="B34" s="16" t="s">
        <v>64</v>
      </c>
      <c r="C34" s="31">
        <v>1000</v>
      </c>
      <c r="D34" s="31">
        <v>1000</v>
      </c>
      <c r="E34" s="35"/>
      <c r="F34" s="31">
        <f t="shared" si="3"/>
        <v>0</v>
      </c>
      <c r="G34" s="31">
        <f t="shared" si="1"/>
        <v>0</v>
      </c>
      <c r="H34" s="4"/>
      <c r="I34" s="4"/>
      <c r="J34" s="4"/>
      <c r="K34" s="4"/>
      <c r="L34" s="4"/>
      <c r="M34" s="4"/>
      <c r="N34" s="4"/>
      <c r="O34" s="2"/>
    </row>
    <row r="35" spans="2:15" s="68" customFormat="1" ht="15" hidden="1" customHeight="1" outlineLevel="1" x14ac:dyDescent="0.25">
      <c r="B35" s="16" t="s">
        <v>65</v>
      </c>
      <c r="C35" s="31">
        <v>1000</v>
      </c>
      <c r="D35" s="31">
        <v>1000</v>
      </c>
      <c r="E35" s="35"/>
      <c r="F35" s="31">
        <f t="shared" si="3"/>
        <v>0</v>
      </c>
      <c r="G35" s="31">
        <f t="shared" si="1"/>
        <v>0</v>
      </c>
      <c r="H35" s="4"/>
      <c r="I35" s="4"/>
      <c r="J35" s="4"/>
      <c r="K35" s="4"/>
      <c r="L35" s="4"/>
      <c r="M35" s="4"/>
      <c r="N35" s="4"/>
      <c r="O35" s="2"/>
    </row>
    <row r="36" spans="2:15" s="68" customFormat="1" ht="15" hidden="1" customHeight="1" outlineLevel="1" x14ac:dyDescent="0.25">
      <c r="B36" s="16" t="s">
        <v>66</v>
      </c>
      <c r="C36" s="31">
        <v>1000</v>
      </c>
      <c r="D36" s="31">
        <v>1000</v>
      </c>
      <c r="E36" s="35"/>
      <c r="F36" s="31">
        <f t="shared" si="3"/>
        <v>0</v>
      </c>
      <c r="G36" s="31">
        <f t="shared" si="1"/>
        <v>0</v>
      </c>
      <c r="H36" s="4"/>
      <c r="I36" s="4"/>
      <c r="J36" s="4"/>
      <c r="K36" s="4"/>
      <c r="L36" s="4"/>
      <c r="M36" s="4"/>
      <c r="N36" s="4"/>
      <c r="O36" s="2"/>
    </row>
    <row r="37" spans="2:15" s="68" customFormat="1" ht="15" hidden="1" customHeight="1" outlineLevel="1" x14ac:dyDescent="0.25">
      <c r="B37" s="16" t="s">
        <v>67</v>
      </c>
      <c r="C37" s="31">
        <v>1000</v>
      </c>
      <c r="D37" s="31">
        <v>1000</v>
      </c>
      <c r="E37" s="35"/>
      <c r="F37" s="31">
        <f t="shared" si="3"/>
        <v>0</v>
      </c>
      <c r="G37" s="31">
        <f t="shared" si="1"/>
        <v>0</v>
      </c>
      <c r="H37" s="4"/>
      <c r="I37" s="4"/>
      <c r="J37" s="4"/>
      <c r="K37" s="4"/>
      <c r="L37" s="4"/>
      <c r="M37" s="4"/>
      <c r="N37" s="4"/>
      <c r="O37" s="2"/>
    </row>
    <row r="38" spans="2:15" s="68" customFormat="1" ht="15" hidden="1" customHeight="1" outlineLevel="1" x14ac:dyDescent="0.25">
      <c r="B38" s="16" t="s">
        <v>68</v>
      </c>
      <c r="C38" s="31">
        <v>1000</v>
      </c>
      <c r="D38" s="31">
        <v>1000</v>
      </c>
      <c r="E38" s="35"/>
      <c r="F38" s="31">
        <f t="shared" si="3"/>
        <v>0</v>
      </c>
      <c r="G38" s="31">
        <f t="shared" si="1"/>
        <v>0</v>
      </c>
      <c r="H38" s="4"/>
      <c r="I38" s="4"/>
      <c r="J38" s="4"/>
      <c r="K38" s="4"/>
      <c r="L38" s="4"/>
      <c r="M38" s="4"/>
      <c r="N38" s="4"/>
      <c r="O38" s="2"/>
    </row>
    <row r="39" spans="2:15" s="68" customFormat="1" ht="15" hidden="1" customHeight="1" outlineLevel="1" x14ac:dyDescent="0.25">
      <c r="B39" s="16" t="s">
        <v>69</v>
      </c>
      <c r="C39" s="31">
        <v>1000</v>
      </c>
      <c r="D39" s="31">
        <v>1000</v>
      </c>
      <c r="E39" s="35"/>
      <c r="F39" s="31">
        <f t="shared" si="3"/>
        <v>0</v>
      </c>
      <c r="G39" s="31">
        <f t="shared" si="1"/>
        <v>0</v>
      </c>
      <c r="H39" s="4"/>
      <c r="I39" s="4"/>
      <c r="J39" s="4"/>
      <c r="K39" s="4"/>
      <c r="L39" s="4"/>
      <c r="M39" s="4"/>
      <c r="N39" s="4"/>
      <c r="O39" s="2"/>
    </row>
    <row r="40" spans="2:15" s="68" customFormat="1" ht="15" hidden="1" customHeight="1" outlineLevel="1" x14ac:dyDescent="0.25">
      <c r="B40" s="16" t="s">
        <v>70</v>
      </c>
      <c r="C40" s="31">
        <v>1000</v>
      </c>
      <c r="D40" s="31">
        <v>1000</v>
      </c>
      <c r="E40" s="35"/>
      <c r="F40" s="31">
        <f t="shared" si="3"/>
        <v>0</v>
      </c>
      <c r="G40" s="31">
        <f t="shared" ref="G40:G71" si="4">IF(D40=0, 0, (C40-D40)/ABS(D40))</f>
        <v>0</v>
      </c>
      <c r="H40" s="4"/>
      <c r="I40" s="4"/>
      <c r="J40" s="4"/>
      <c r="K40" s="4"/>
      <c r="L40" s="4"/>
      <c r="M40" s="4"/>
      <c r="N40" s="4"/>
      <c r="O40" s="2"/>
    </row>
    <row r="41" spans="2:15" s="68" customFormat="1" ht="15" hidden="1" customHeight="1" outlineLevel="1" x14ac:dyDescent="0.25">
      <c r="B41" s="16" t="s">
        <v>118</v>
      </c>
      <c r="C41" s="31">
        <v>1000</v>
      </c>
      <c r="D41" s="31">
        <v>1000</v>
      </c>
      <c r="E41" s="35"/>
      <c r="F41" s="31">
        <f t="shared" si="3"/>
        <v>0</v>
      </c>
      <c r="G41" s="31">
        <f t="shared" si="4"/>
        <v>0</v>
      </c>
      <c r="H41" s="4"/>
      <c r="I41" s="4"/>
      <c r="J41" s="4"/>
      <c r="K41" s="4"/>
      <c r="L41" s="4"/>
      <c r="M41" s="4"/>
      <c r="N41" s="4"/>
      <c r="O41" s="2"/>
    </row>
    <row r="42" spans="2:15" s="68" customFormat="1" ht="15" hidden="1" customHeight="1" outlineLevel="1" x14ac:dyDescent="0.25">
      <c r="B42" s="16" t="s">
        <v>71</v>
      </c>
      <c r="C42" s="31">
        <v>1000</v>
      </c>
      <c r="D42" s="31">
        <v>1000</v>
      </c>
      <c r="E42" s="35"/>
      <c r="F42" s="31">
        <f t="shared" si="3"/>
        <v>0</v>
      </c>
      <c r="G42" s="31">
        <f t="shared" si="4"/>
        <v>0</v>
      </c>
      <c r="H42" s="4"/>
      <c r="I42" s="4"/>
      <c r="J42" s="4"/>
      <c r="K42" s="4"/>
      <c r="L42" s="4"/>
      <c r="M42" s="4"/>
      <c r="N42" s="4"/>
      <c r="O42" s="2"/>
    </row>
    <row r="43" spans="2:15" s="68" customFormat="1" ht="15" hidden="1" customHeight="1" outlineLevel="1" x14ac:dyDescent="0.25">
      <c r="B43" s="16" t="s">
        <v>72</v>
      </c>
      <c r="C43" s="31">
        <v>1000</v>
      </c>
      <c r="D43" s="31">
        <v>1000</v>
      </c>
      <c r="E43" s="35"/>
      <c r="F43" s="31">
        <f t="shared" si="3"/>
        <v>0</v>
      </c>
      <c r="G43" s="31">
        <f t="shared" si="4"/>
        <v>0</v>
      </c>
      <c r="H43" s="4"/>
      <c r="I43" s="4"/>
      <c r="J43" s="4"/>
      <c r="K43" s="4"/>
      <c r="L43" s="4"/>
      <c r="M43" s="4"/>
      <c r="N43" s="4"/>
      <c r="O43" s="2"/>
    </row>
    <row r="44" spans="2:15" s="68" customFormat="1" ht="15" hidden="1" customHeight="1" outlineLevel="1" x14ac:dyDescent="0.25">
      <c r="B44" s="16" t="s">
        <v>1</v>
      </c>
      <c r="C44" s="31">
        <v>1000</v>
      </c>
      <c r="D44" s="31">
        <v>1000</v>
      </c>
      <c r="E44" s="35"/>
      <c r="F44" s="31">
        <f t="shared" si="3"/>
        <v>0</v>
      </c>
      <c r="G44" s="31">
        <f t="shared" si="4"/>
        <v>0</v>
      </c>
      <c r="H44" s="4"/>
      <c r="I44" s="4"/>
      <c r="J44" s="4"/>
      <c r="K44" s="4"/>
      <c r="L44" s="4"/>
      <c r="M44" s="4"/>
      <c r="N44" s="4"/>
      <c r="O44" s="2"/>
    </row>
    <row r="45" spans="2:15" s="68" customFormat="1" ht="15" hidden="1" customHeight="1" outlineLevel="1" x14ac:dyDescent="0.25">
      <c r="B45" s="16" t="s">
        <v>38</v>
      </c>
      <c r="C45" s="31">
        <v>1000</v>
      </c>
      <c r="D45" s="31">
        <v>1000</v>
      </c>
      <c r="E45" s="35"/>
      <c r="F45" s="31">
        <f t="shared" si="3"/>
        <v>0</v>
      </c>
      <c r="G45" s="31">
        <f t="shared" si="4"/>
        <v>0</v>
      </c>
      <c r="H45" s="4"/>
      <c r="I45" s="4"/>
      <c r="J45" s="4"/>
      <c r="K45" s="4"/>
      <c r="L45" s="4"/>
      <c r="M45" s="4"/>
      <c r="N45" s="4"/>
      <c r="O45" s="2"/>
    </row>
    <row r="46" spans="2:15" s="68" customFormat="1" ht="15" hidden="1" customHeight="1" outlineLevel="1" x14ac:dyDescent="0.25">
      <c r="B46" s="16" t="s">
        <v>2</v>
      </c>
      <c r="C46" s="31">
        <v>1000</v>
      </c>
      <c r="D46" s="31">
        <v>1000</v>
      </c>
      <c r="E46" s="35"/>
      <c r="F46" s="31">
        <f t="shared" si="3"/>
        <v>0</v>
      </c>
      <c r="G46" s="31">
        <f t="shared" si="4"/>
        <v>0</v>
      </c>
      <c r="H46" s="4"/>
      <c r="I46" s="4"/>
      <c r="J46" s="4"/>
      <c r="K46" s="4"/>
      <c r="L46" s="4"/>
      <c r="M46" s="4"/>
      <c r="N46" s="4"/>
      <c r="O46" s="2"/>
    </row>
    <row r="47" spans="2:15" s="68" customFormat="1" ht="15" hidden="1" customHeight="1" outlineLevel="1" x14ac:dyDescent="0.25">
      <c r="B47" s="16" t="s">
        <v>73</v>
      </c>
      <c r="C47" s="31">
        <v>1000</v>
      </c>
      <c r="D47" s="31">
        <v>1000</v>
      </c>
      <c r="E47" s="35"/>
      <c r="F47" s="31">
        <f t="shared" si="3"/>
        <v>0</v>
      </c>
      <c r="G47" s="31">
        <f t="shared" si="4"/>
        <v>0</v>
      </c>
      <c r="H47" s="4"/>
      <c r="I47" s="4"/>
      <c r="J47" s="4"/>
      <c r="K47" s="4"/>
      <c r="L47" s="4"/>
      <c r="M47" s="4"/>
      <c r="N47" s="4"/>
      <c r="O47" s="2"/>
    </row>
    <row r="48" spans="2:15" s="68" customFormat="1" ht="15" hidden="1" customHeight="1" outlineLevel="1" x14ac:dyDescent="0.25">
      <c r="B48" s="16" t="s">
        <v>74</v>
      </c>
      <c r="C48" s="31">
        <v>1000</v>
      </c>
      <c r="D48" s="31">
        <v>1000</v>
      </c>
      <c r="E48" s="35"/>
      <c r="F48" s="31">
        <f t="shared" si="3"/>
        <v>0</v>
      </c>
      <c r="G48" s="31">
        <f t="shared" si="4"/>
        <v>0</v>
      </c>
      <c r="H48" s="4"/>
      <c r="I48" s="4"/>
      <c r="J48" s="4"/>
      <c r="K48" s="4"/>
      <c r="L48" s="4"/>
      <c r="M48" s="4"/>
      <c r="N48" s="4"/>
      <c r="O48" s="2"/>
    </row>
    <row r="49" spans="2:15" s="68" customFormat="1" ht="15" hidden="1" customHeight="1" outlineLevel="1" x14ac:dyDescent="0.25">
      <c r="B49" s="16" t="s">
        <v>4</v>
      </c>
      <c r="C49" s="31">
        <v>1000</v>
      </c>
      <c r="D49" s="31">
        <v>1000</v>
      </c>
      <c r="E49" s="35"/>
      <c r="F49" s="31">
        <f t="shared" si="3"/>
        <v>0</v>
      </c>
      <c r="G49" s="31">
        <f t="shared" si="4"/>
        <v>0</v>
      </c>
      <c r="H49" s="4"/>
      <c r="I49" s="4"/>
      <c r="J49" s="4"/>
      <c r="K49" s="4"/>
      <c r="L49" s="4"/>
      <c r="M49" s="4"/>
      <c r="N49" s="4"/>
      <c r="O49" s="2"/>
    </row>
    <row r="50" spans="2:15" s="68" customFormat="1" ht="15" hidden="1" customHeight="1" outlineLevel="1" x14ac:dyDescent="0.25">
      <c r="B50" s="16" t="s">
        <v>5</v>
      </c>
      <c r="C50" s="31">
        <v>1000</v>
      </c>
      <c r="D50" s="31">
        <v>1000</v>
      </c>
      <c r="E50" s="35"/>
      <c r="F50" s="31">
        <f t="shared" si="3"/>
        <v>0</v>
      </c>
      <c r="G50" s="31">
        <f t="shared" si="4"/>
        <v>0</v>
      </c>
      <c r="H50" s="4"/>
      <c r="I50" s="4"/>
      <c r="J50" s="4"/>
      <c r="K50" s="4"/>
      <c r="L50" s="4"/>
      <c r="M50" s="4"/>
      <c r="N50" s="4"/>
      <c r="O50" s="2"/>
    </row>
    <row r="51" spans="2:15" s="68" customFormat="1" ht="15" hidden="1" customHeight="1" outlineLevel="1" x14ac:dyDescent="0.25">
      <c r="B51" s="16" t="s">
        <v>75</v>
      </c>
      <c r="C51" s="31">
        <v>1000</v>
      </c>
      <c r="D51" s="31">
        <v>1000</v>
      </c>
      <c r="E51" s="35"/>
      <c r="F51" s="31">
        <f t="shared" si="3"/>
        <v>0</v>
      </c>
      <c r="G51" s="31">
        <f t="shared" si="4"/>
        <v>0</v>
      </c>
      <c r="H51" s="4"/>
      <c r="I51" s="4"/>
      <c r="J51" s="4"/>
      <c r="K51" s="4"/>
      <c r="L51" s="4"/>
      <c r="M51" s="4"/>
      <c r="N51" s="4"/>
      <c r="O51" s="2"/>
    </row>
    <row r="52" spans="2:15" s="68" customFormat="1" ht="15" hidden="1" customHeight="1" outlineLevel="1" x14ac:dyDescent="0.25">
      <c r="B52" s="16" t="s">
        <v>141</v>
      </c>
      <c r="C52" s="31">
        <v>1000</v>
      </c>
      <c r="D52" s="31">
        <v>1000</v>
      </c>
      <c r="E52" s="35"/>
      <c r="F52" s="31">
        <f t="shared" si="3"/>
        <v>0</v>
      </c>
      <c r="G52" s="31">
        <f t="shared" si="4"/>
        <v>0</v>
      </c>
      <c r="H52" s="4"/>
      <c r="I52" s="4"/>
      <c r="J52" s="4"/>
      <c r="K52" s="4"/>
      <c r="L52" s="4"/>
      <c r="M52" s="4"/>
      <c r="N52" s="4"/>
      <c r="O52" s="2"/>
    </row>
    <row r="53" spans="2:15" s="68" customFormat="1" ht="15" hidden="1" customHeight="1" outlineLevel="1" x14ac:dyDescent="0.25">
      <c r="B53" s="16" t="s">
        <v>30</v>
      </c>
      <c r="C53" s="31">
        <v>1000</v>
      </c>
      <c r="D53" s="31">
        <v>1000</v>
      </c>
      <c r="E53" s="35"/>
      <c r="F53" s="31">
        <f t="shared" si="3"/>
        <v>0</v>
      </c>
      <c r="G53" s="31">
        <f t="shared" si="4"/>
        <v>0</v>
      </c>
      <c r="H53" s="4"/>
      <c r="I53" s="4"/>
      <c r="J53" s="4"/>
      <c r="K53" s="4"/>
      <c r="L53" s="4"/>
      <c r="M53" s="4"/>
      <c r="N53" s="4"/>
      <c r="O53" s="2"/>
    </row>
    <row r="54" spans="2:15" s="68" customFormat="1" ht="15" hidden="1" customHeight="1" outlineLevel="1" x14ac:dyDescent="0.25">
      <c r="B54" s="16" t="s">
        <v>6</v>
      </c>
      <c r="C54" s="31">
        <v>1000</v>
      </c>
      <c r="D54" s="31">
        <v>1000</v>
      </c>
      <c r="E54" s="35"/>
      <c r="F54" s="31">
        <f t="shared" si="3"/>
        <v>0</v>
      </c>
      <c r="G54" s="31">
        <f t="shared" si="4"/>
        <v>0</v>
      </c>
      <c r="H54" s="4"/>
      <c r="I54" s="4"/>
      <c r="J54" s="4"/>
      <c r="K54" s="4"/>
      <c r="L54" s="4"/>
      <c r="M54" s="4"/>
      <c r="N54" s="4"/>
      <c r="O54" s="2"/>
    </row>
    <row r="55" spans="2:15" s="68" customFormat="1" ht="15" hidden="1" customHeight="1" outlineLevel="1" x14ac:dyDescent="0.25">
      <c r="B55" s="16" t="s">
        <v>7</v>
      </c>
      <c r="C55" s="31">
        <v>1000</v>
      </c>
      <c r="D55" s="31">
        <v>1000</v>
      </c>
      <c r="E55" s="35"/>
      <c r="F55" s="31">
        <f t="shared" si="3"/>
        <v>0</v>
      </c>
      <c r="G55" s="31">
        <f t="shared" si="4"/>
        <v>0</v>
      </c>
      <c r="H55" s="4"/>
      <c r="I55" s="4"/>
      <c r="J55" s="4"/>
      <c r="K55" s="4"/>
      <c r="L55" s="4"/>
      <c r="M55" s="4"/>
      <c r="N55" s="4"/>
      <c r="O55" s="2"/>
    </row>
    <row r="56" spans="2:15" s="68" customFormat="1" ht="15" hidden="1" customHeight="1" outlineLevel="1" x14ac:dyDescent="0.25">
      <c r="B56" s="16" t="s">
        <v>3</v>
      </c>
      <c r="C56" s="31">
        <v>1000</v>
      </c>
      <c r="D56" s="31">
        <v>1000</v>
      </c>
      <c r="E56" s="35"/>
      <c r="F56" s="31">
        <f t="shared" si="3"/>
        <v>0</v>
      </c>
      <c r="G56" s="31">
        <f t="shared" si="4"/>
        <v>0</v>
      </c>
      <c r="H56" s="4"/>
      <c r="I56" s="4"/>
      <c r="J56" s="4"/>
      <c r="K56" s="4"/>
      <c r="L56" s="4"/>
      <c r="M56" s="4"/>
      <c r="N56" s="4"/>
      <c r="O56" s="2"/>
    </row>
    <row r="57" spans="2:15" s="68" customFormat="1" ht="15" hidden="1" customHeight="1" outlineLevel="1" x14ac:dyDescent="0.25">
      <c r="B57" s="16" t="s">
        <v>8</v>
      </c>
      <c r="C57" s="31">
        <v>1000</v>
      </c>
      <c r="D57" s="31">
        <v>1000</v>
      </c>
      <c r="E57" s="35"/>
      <c r="F57" s="31">
        <f t="shared" si="3"/>
        <v>0</v>
      </c>
      <c r="G57" s="31">
        <f t="shared" si="4"/>
        <v>0</v>
      </c>
      <c r="H57" s="4"/>
      <c r="I57" s="4"/>
      <c r="J57" s="4"/>
      <c r="K57" s="4"/>
      <c r="L57" s="4"/>
      <c r="M57" s="4"/>
      <c r="N57" s="4"/>
      <c r="O57" s="2"/>
    </row>
    <row r="58" spans="2:15" s="68" customFormat="1" ht="15" hidden="1" customHeight="1" outlineLevel="1" x14ac:dyDescent="0.25">
      <c r="B58" s="16" t="s">
        <v>9</v>
      </c>
      <c r="C58" s="31">
        <v>1000</v>
      </c>
      <c r="D58" s="31">
        <v>1000</v>
      </c>
      <c r="E58" s="35"/>
      <c r="F58" s="31">
        <f t="shared" ref="F58:F74" si="5">C58-D58</f>
        <v>0</v>
      </c>
      <c r="G58" s="31">
        <f t="shared" si="4"/>
        <v>0</v>
      </c>
      <c r="H58" s="4"/>
      <c r="I58" s="4"/>
      <c r="J58" s="4"/>
      <c r="K58" s="4"/>
      <c r="L58" s="4"/>
      <c r="M58" s="4"/>
      <c r="N58" s="4"/>
      <c r="O58" s="2"/>
    </row>
    <row r="59" spans="2:15" s="68" customFormat="1" ht="15" hidden="1" customHeight="1" outlineLevel="1" x14ac:dyDescent="0.25">
      <c r="B59" s="16" t="s">
        <v>76</v>
      </c>
      <c r="C59" s="31">
        <v>1000</v>
      </c>
      <c r="D59" s="31">
        <v>1000</v>
      </c>
      <c r="E59" s="35"/>
      <c r="F59" s="31">
        <f t="shared" si="5"/>
        <v>0</v>
      </c>
      <c r="G59" s="31">
        <f t="shared" si="4"/>
        <v>0</v>
      </c>
      <c r="H59" s="4"/>
      <c r="I59" s="4"/>
      <c r="J59" s="4"/>
      <c r="K59" s="4"/>
      <c r="L59" s="4"/>
      <c r="M59" s="4"/>
      <c r="N59" s="4"/>
      <c r="O59" s="2"/>
    </row>
    <row r="60" spans="2:15" s="68" customFormat="1" ht="15" hidden="1" customHeight="1" outlineLevel="1" x14ac:dyDescent="0.25">
      <c r="B60" s="16" t="s">
        <v>10</v>
      </c>
      <c r="C60" s="31">
        <v>1000</v>
      </c>
      <c r="D60" s="31">
        <v>1000</v>
      </c>
      <c r="E60" s="35"/>
      <c r="F60" s="31">
        <f t="shared" si="5"/>
        <v>0</v>
      </c>
      <c r="G60" s="31">
        <f t="shared" si="4"/>
        <v>0</v>
      </c>
      <c r="H60" s="4"/>
      <c r="I60" s="4"/>
      <c r="J60" s="4"/>
      <c r="K60" s="4"/>
      <c r="L60" s="4"/>
      <c r="M60" s="4"/>
      <c r="N60" s="4"/>
      <c r="O60" s="2"/>
    </row>
    <row r="61" spans="2:15" s="68" customFormat="1" ht="15" hidden="1" customHeight="1" outlineLevel="1" x14ac:dyDescent="0.25">
      <c r="B61" s="16" t="s">
        <v>11</v>
      </c>
      <c r="C61" s="31">
        <v>1000</v>
      </c>
      <c r="D61" s="31">
        <v>1000</v>
      </c>
      <c r="E61" s="35"/>
      <c r="F61" s="31">
        <f t="shared" si="5"/>
        <v>0</v>
      </c>
      <c r="G61" s="31">
        <f t="shared" si="4"/>
        <v>0</v>
      </c>
      <c r="H61" s="4"/>
      <c r="I61" s="4"/>
      <c r="J61" s="4"/>
      <c r="K61" s="4"/>
      <c r="L61" s="4"/>
      <c r="M61" s="4"/>
      <c r="N61" s="4"/>
      <c r="O61" s="2"/>
    </row>
    <row r="62" spans="2:15" s="68" customFormat="1" ht="15" hidden="1" customHeight="1" outlineLevel="1" x14ac:dyDescent="0.25">
      <c r="B62" s="16" t="s">
        <v>12</v>
      </c>
      <c r="C62" s="31">
        <v>1000</v>
      </c>
      <c r="D62" s="31">
        <v>1000</v>
      </c>
      <c r="E62" s="35"/>
      <c r="F62" s="31">
        <f t="shared" si="5"/>
        <v>0</v>
      </c>
      <c r="G62" s="31">
        <f t="shared" si="4"/>
        <v>0</v>
      </c>
      <c r="H62" s="4"/>
      <c r="I62" s="4"/>
      <c r="J62" s="4"/>
      <c r="K62" s="4"/>
      <c r="L62" s="4"/>
      <c r="M62" s="4"/>
      <c r="N62" s="4"/>
      <c r="O62" s="2"/>
    </row>
    <row r="63" spans="2:15" s="68" customFormat="1" ht="15" hidden="1" customHeight="1" outlineLevel="1" x14ac:dyDescent="0.25">
      <c r="B63" s="16" t="s">
        <v>13</v>
      </c>
      <c r="C63" s="31">
        <v>1000</v>
      </c>
      <c r="D63" s="31">
        <v>1000</v>
      </c>
      <c r="E63" s="35"/>
      <c r="F63" s="31">
        <f t="shared" si="5"/>
        <v>0</v>
      </c>
      <c r="G63" s="31">
        <f t="shared" si="4"/>
        <v>0</v>
      </c>
      <c r="H63" s="4"/>
      <c r="I63" s="4"/>
      <c r="J63" s="4"/>
      <c r="K63" s="4"/>
      <c r="L63" s="4"/>
      <c r="M63" s="4"/>
      <c r="N63" s="4"/>
      <c r="O63" s="2"/>
    </row>
    <row r="64" spans="2:15" s="68" customFormat="1" ht="15" hidden="1" customHeight="1" outlineLevel="1" x14ac:dyDescent="0.25">
      <c r="B64" s="16" t="s">
        <v>14</v>
      </c>
      <c r="C64" s="31">
        <v>1000</v>
      </c>
      <c r="D64" s="31">
        <v>1000</v>
      </c>
      <c r="E64" s="35"/>
      <c r="F64" s="31">
        <f t="shared" si="5"/>
        <v>0</v>
      </c>
      <c r="G64" s="31">
        <f t="shared" si="4"/>
        <v>0</v>
      </c>
      <c r="H64" s="4"/>
      <c r="I64" s="4"/>
      <c r="J64" s="4"/>
      <c r="K64" s="4"/>
      <c r="L64" s="4"/>
      <c r="M64" s="4"/>
      <c r="N64" s="4"/>
      <c r="O64" s="2"/>
    </row>
    <row r="65" spans="1:254" s="68" customFormat="1" ht="15" hidden="1" customHeight="1" outlineLevel="1" x14ac:dyDescent="0.25">
      <c r="A65" s="70"/>
      <c r="B65" s="16" t="s">
        <v>77</v>
      </c>
      <c r="C65" s="31">
        <v>1000</v>
      </c>
      <c r="D65" s="31">
        <v>1000</v>
      </c>
      <c r="E65" s="35"/>
      <c r="F65" s="31">
        <f t="shared" si="5"/>
        <v>0</v>
      </c>
      <c r="G65" s="31">
        <f t="shared" si="4"/>
        <v>0</v>
      </c>
      <c r="H65" s="4"/>
      <c r="I65" s="4"/>
      <c r="J65" s="4"/>
      <c r="K65" s="4"/>
      <c r="L65" s="4"/>
      <c r="M65" s="4"/>
      <c r="N65" s="4"/>
      <c r="O65" s="2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1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1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1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1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1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70"/>
      <c r="CR65" s="70"/>
      <c r="CS65" s="71"/>
      <c r="CT65" s="70"/>
      <c r="CU65" s="70"/>
      <c r="CV65" s="70"/>
      <c r="CW65" s="70"/>
      <c r="CX65" s="70"/>
      <c r="CY65" s="70"/>
      <c r="CZ65" s="70"/>
      <c r="DA65" s="70"/>
      <c r="DB65" s="70"/>
      <c r="DC65" s="70"/>
      <c r="DD65" s="70"/>
      <c r="DE65" s="70"/>
      <c r="DF65" s="70"/>
      <c r="DG65" s="71"/>
      <c r="DH65" s="70"/>
      <c r="DI65" s="70"/>
      <c r="DJ65" s="70"/>
      <c r="DK65" s="70"/>
      <c r="DL65" s="70"/>
      <c r="DM65" s="70"/>
      <c r="DN65" s="70"/>
      <c r="DO65" s="70"/>
      <c r="DP65" s="70"/>
      <c r="DQ65" s="70"/>
      <c r="DR65" s="70"/>
      <c r="DS65" s="70"/>
      <c r="DT65" s="70"/>
      <c r="DU65" s="71"/>
      <c r="DV65" s="70"/>
      <c r="DW65" s="70"/>
      <c r="DX65" s="70"/>
      <c r="DY65" s="70"/>
      <c r="DZ65" s="70"/>
      <c r="EA65" s="70"/>
      <c r="EB65" s="70"/>
      <c r="EC65" s="70"/>
      <c r="ED65" s="70"/>
      <c r="EE65" s="70"/>
      <c r="EF65" s="70"/>
      <c r="EG65" s="70"/>
      <c r="EH65" s="70"/>
      <c r="EI65" s="71"/>
      <c r="EJ65" s="70"/>
      <c r="EK65" s="70"/>
      <c r="EL65" s="70"/>
      <c r="EM65" s="70"/>
      <c r="EN65" s="70"/>
      <c r="EO65" s="70"/>
      <c r="EP65" s="70"/>
      <c r="EQ65" s="70"/>
      <c r="ER65" s="70"/>
      <c r="ES65" s="70"/>
      <c r="ET65" s="70"/>
      <c r="EU65" s="70"/>
      <c r="EV65" s="70"/>
      <c r="EW65" s="71"/>
      <c r="EX65" s="70"/>
      <c r="EY65" s="70"/>
      <c r="EZ65" s="70"/>
      <c r="FA65" s="70"/>
      <c r="FB65" s="70"/>
      <c r="FC65" s="70"/>
      <c r="FD65" s="70"/>
      <c r="FE65" s="70"/>
      <c r="FF65" s="70"/>
      <c r="FG65" s="70"/>
      <c r="FH65" s="70"/>
      <c r="FI65" s="70"/>
      <c r="FJ65" s="70"/>
      <c r="FK65" s="71"/>
      <c r="FL65" s="70"/>
      <c r="FM65" s="70"/>
      <c r="FN65" s="70"/>
      <c r="FO65" s="70"/>
      <c r="FP65" s="70"/>
      <c r="FQ65" s="70"/>
      <c r="FR65" s="70"/>
      <c r="FS65" s="70"/>
      <c r="FT65" s="70"/>
      <c r="FU65" s="70"/>
      <c r="FV65" s="70"/>
      <c r="FW65" s="70"/>
      <c r="FX65" s="70"/>
      <c r="FY65" s="71"/>
      <c r="FZ65" s="70"/>
      <c r="GA65" s="70"/>
      <c r="GB65" s="70"/>
      <c r="GC65" s="70"/>
      <c r="GD65" s="70"/>
      <c r="GE65" s="70"/>
      <c r="GF65" s="70"/>
      <c r="GG65" s="70"/>
      <c r="GH65" s="70"/>
      <c r="GI65" s="70"/>
      <c r="GJ65" s="70"/>
      <c r="GK65" s="70"/>
      <c r="GL65" s="70"/>
      <c r="GM65" s="71"/>
      <c r="GN65" s="70"/>
      <c r="GO65" s="70"/>
      <c r="GP65" s="70"/>
      <c r="GQ65" s="70"/>
      <c r="GR65" s="70"/>
      <c r="GS65" s="70"/>
      <c r="GT65" s="70"/>
      <c r="GU65" s="70"/>
      <c r="GV65" s="70"/>
      <c r="GW65" s="70"/>
      <c r="GX65" s="70"/>
      <c r="GY65" s="70"/>
      <c r="GZ65" s="70"/>
      <c r="HA65" s="71"/>
      <c r="HB65" s="70"/>
      <c r="HC65" s="70"/>
      <c r="HD65" s="70"/>
      <c r="HE65" s="70"/>
      <c r="HF65" s="70"/>
      <c r="HG65" s="70"/>
      <c r="HH65" s="70"/>
      <c r="HI65" s="70"/>
      <c r="HJ65" s="70"/>
      <c r="HK65" s="70"/>
      <c r="HL65" s="70"/>
      <c r="HM65" s="70"/>
      <c r="HN65" s="70"/>
      <c r="HO65" s="71"/>
      <c r="HP65" s="70"/>
      <c r="HQ65" s="70"/>
      <c r="HR65" s="70"/>
      <c r="HS65" s="70"/>
      <c r="HT65" s="70"/>
      <c r="HU65" s="70"/>
      <c r="HV65" s="70"/>
      <c r="HW65" s="70"/>
      <c r="HX65" s="70"/>
      <c r="HY65" s="70"/>
      <c r="HZ65" s="70"/>
      <c r="IA65" s="70"/>
      <c r="IB65" s="70"/>
      <c r="IC65" s="71"/>
      <c r="ID65" s="70"/>
      <c r="IE65" s="70"/>
      <c r="IF65" s="70"/>
      <c r="IG65" s="70"/>
      <c r="IH65" s="70"/>
      <c r="II65" s="70"/>
      <c r="IJ65" s="70"/>
      <c r="IK65" s="70"/>
      <c r="IL65" s="70"/>
      <c r="IM65" s="70"/>
      <c r="IN65" s="70"/>
      <c r="IO65" s="70"/>
      <c r="IP65" s="70"/>
      <c r="IQ65" s="71"/>
      <c r="IR65" s="70"/>
      <c r="IS65" s="70"/>
      <c r="IT65" s="70"/>
    </row>
    <row r="66" spans="1:254" s="68" customFormat="1" ht="15" hidden="1" customHeight="1" outlineLevel="1" x14ac:dyDescent="0.25">
      <c r="A66" s="70"/>
      <c r="B66" s="16" t="s">
        <v>142</v>
      </c>
      <c r="C66" s="31">
        <v>1000</v>
      </c>
      <c r="D66" s="31">
        <v>1000</v>
      </c>
      <c r="E66" s="35"/>
      <c r="F66" s="31">
        <f t="shared" si="5"/>
        <v>0</v>
      </c>
      <c r="G66" s="31">
        <f t="shared" si="4"/>
        <v>0</v>
      </c>
      <c r="H66" s="4"/>
      <c r="I66" s="4"/>
      <c r="J66" s="4"/>
      <c r="K66" s="4"/>
      <c r="L66" s="4"/>
      <c r="M66" s="4"/>
      <c r="N66" s="4"/>
      <c r="O66" s="2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1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1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1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1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1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1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1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1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1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1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1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1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1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1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1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1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1"/>
      <c r="IR66" s="70"/>
      <c r="IS66" s="70"/>
      <c r="IT66" s="70"/>
    </row>
    <row r="67" spans="1:254" s="68" customFormat="1" ht="15" hidden="1" customHeight="1" outlineLevel="1" x14ac:dyDescent="0.25">
      <c r="A67" s="70"/>
      <c r="B67" s="16" t="s">
        <v>78</v>
      </c>
      <c r="C67" s="31">
        <v>1000</v>
      </c>
      <c r="D67" s="31">
        <v>1000</v>
      </c>
      <c r="E67" s="35"/>
      <c r="F67" s="31">
        <f t="shared" si="5"/>
        <v>0</v>
      </c>
      <c r="G67" s="31">
        <f t="shared" si="4"/>
        <v>0</v>
      </c>
      <c r="H67" s="4"/>
      <c r="I67" s="4"/>
      <c r="J67" s="4"/>
      <c r="K67" s="4"/>
      <c r="L67" s="4"/>
      <c r="M67" s="4"/>
      <c r="N67" s="4"/>
      <c r="O67" s="2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1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1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1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1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1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70"/>
      <c r="CR67" s="70"/>
      <c r="CS67" s="71"/>
      <c r="CT67" s="70"/>
      <c r="CU67" s="70"/>
      <c r="CV67" s="70"/>
      <c r="CW67" s="70"/>
      <c r="CX67" s="70"/>
      <c r="CY67" s="70"/>
      <c r="CZ67" s="70"/>
      <c r="DA67" s="70"/>
      <c r="DB67" s="70"/>
      <c r="DC67" s="70"/>
      <c r="DD67" s="70"/>
      <c r="DE67" s="70"/>
      <c r="DF67" s="70"/>
      <c r="DG67" s="71"/>
      <c r="DH67" s="70"/>
      <c r="DI67" s="70"/>
      <c r="DJ67" s="70"/>
      <c r="DK67" s="70"/>
      <c r="DL67" s="70"/>
      <c r="DM67" s="70"/>
      <c r="DN67" s="70"/>
      <c r="DO67" s="70"/>
      <c r="DP67" s="70"/>
      <c r="DQ67" s="70"/>
      <c r="DR67" s="70"/>
      <c r="DS67" s="70"/>
      <c r="DT67" s="70"/>
      <c r="DU67" s="71"/>
      <c r="DV67" s="70"/>
      <c r="DW67" s="70"/>
      <c r="DX67" s="70"/>
      <c r="DY67" s="70"/>
      <c r="DZ67" s="70"/>
      <c r="EA67" s="70"/>
      <c r="EB67" s="70"/>
      <c r="EC67" s="70"/>
      <c r="ED67" s="70"/>
      <c r="EE67" s="70"/>
      <c r="EF67" s="70"/>
      <c r="EG67" s="70"/>
      <c r="EH67" s="70"/>
      <c r="EI67" s="71"/>
      <c r="EJ67" s="70"/>
      <c r="EK67" s="70"/>
      <c r="EL67" s="70"/>
      <c r="EM67" s="70"/>
      <c r="EN67" s="70"/>
      <c r="EO67" s="70"/>
      <c r="EP67" s="70"/>
      <c r="EQ67" s="70"/>
      <c r="ER67" s="70"/>
      <c r="ES67" s="70"/>
      <c r="ET67" s="70"/>
      <c r="EU67" s="70"/>
      <c r="EV67" s="70"/>
      <c r="EW67" s="71"/>
      <c r="EX67" s="70"/>
      <c r="EY67" s="70"/>
      <c r="EZ67" s="70"/>
      <c r="FA67" s="70"/>
      <c r="FB67" s="70"/>
      <c r="FC67" s="70"/>
      <c r="FD67" s="70"/>
      <c r="FE67" s="70"/>
      <c r="FF67" s="70"/>
      <c r="FG67" s="70"/>
      <c r="FH67" s="70"/>
      <c r="FI67" s="70"/>
      <c r="FJ67" s="70"/>
      <c r="FK67" s="71"/>
      <c r="FL67" s="70"/>
      <c r="FM67" s="70"/>
      <c r="FN67" s="70"/>
      <c r="FO67" s="70"/>
      <c r="FP67" s="70"/>
      <c r="FQ67" s="70"/>
      <c r="FR67" s="70"/>
      <c r="FS67" s="70"/>
      <c r="FT67" s="70"/>
      <c r="FU67" s="70"/>
      <c r="FV67" s="70"/>
      <c r="FW67" s="70"/>
      <c r="FX67" s="70"/>
      <c r="FY67" s="71"/>
      <c r="FZ67" s="70"/>
      <c r="GA67" s="70"/>
      <c r="GB67" s="70"/>
      <c r="GC67" s="70"/>
      <c r="GD67" s="70"/>
      <c r="GE67" s="70"/>
      <c r="GF67" s="70"/>
      <c r="GG67" s="70"/>
      <c r="GH67" s="70"/>
      <c r="GI67" s="70"/>
      <c r="GJ67" s="70"/>
      <c r="GK67" s="70"/>
      <c r="GL67" s="70"/>
      <c r="GM67" s="71"/>
      <c r="GN67" s="70"/>
      <c r="GO67" s="70"/>
      <c r="GP67" s="70"/>
      <c r="GQ67" s="70"/>
      <c r="GR67" s="70"/>
      <c r="GS67" s="70"/>
      <c r="GT67" s="70"/>
      <c r="GU67" s="70"/>
      <c r="GV67" s="70"/>
      <c r="GW67" s="70"/>
      <c r="GX67" s="70"/>
      <c r="GY67" s="70"/>
      <c r="GZ67" s="70"/>
      <c r="HA67" s="71"/>
      <c r="HB67" s="70"/>
      <c r="HC67" s="70"/>
      <c r="HD67" s="70"/>
      <c r="HE67" s="70"/>
      <c r="HF67" s="70"/>
      <c r="HG67" s="70"/>
      <c r="HH67" s="70"/>
      <c r="HI67" s="70"/>
      <c r="HJ67" s="70"/>
      <c r="HK67" s="70"/>
      <c r="HL67" s="70"/>
      <c r="HM67" s="70"/>
      <c r="HN67" s="70"/>
      <c r="HO67" s="71"/>
      <c r="HP67" s="70"/>
      <c r="HQ67" s="70"/>
      <c r="HR67" s="70"/>
      <c r="HS67" s="70"/>
      <c r="HT67" s="70"/>
      <c r="HU67" s="70"/>
      <c r="HV67" s="70"/>
      <c r="HW67" s="70"/>
      <c r="HX67" s="70"/>
      <c r="HY67" s="70"/>
      <c r="HZ67" s="70"/>
      <c r="IA67" s="70"/>
      <c r="IB67" s="70"/>
      <c r="IC67" s="71"/>
      <c r="ID67" s="70"/>
      <c r="IE67" s="70"/>
      <c r="IF67" s="70"/>
      <c r="IG67" s="70"/>
      <c r="IH67" s="70"/>
      <c r="II67" s="70"/>
      <c r="IJ67" s="70"/>
      <c r="IK67" s="70"/>
      <c r="IL67" s="70"/>
      <c r="IM67" s="70"/>
      <c r="IN67" s="70"/>
      <c r="IO67" s="70"/>
      <c r="IP67" s="70"/>
      <c r="IQ67" s="71"/>
      <c r="IR67" s="70"/>
      <c r="IS67" s="70"/>
      <c r="IT67" s="70"/>
    </row>
    <row r="68" spans="1:254" s="68" customFormat="1" ht="15" hidden="1" customHeight="1" outlineLevel="1" x14ac:dyDescent="0.25">
      <c r="B68" s="16" t="s">
        <v>79</v>
      </c>
      <c r="C68" s="31">
        <v>1000</v>
      </c>
      <c r="D68" s="31">
        <v>1000</v>
      </c>
      <c r="E68" s="35"/>
      <c r="F68" s="31">
        <f t="shared" si="5"/>
        <v>0</v>
      </c>
      <c r="G68" s="31">
        <f t="shared" si="4"/>
        <v>0</v>
      </c>
      <c r="H68" s="4"/>
      <c r="I68" s="4"/>
      <c r="J68" s="4"/>
      <c r="K68" s="4"/>
      <c r="L68" s="4"/>
      <c r="M68" s="4"/>
      <c r="N68" s="4"/>
      <c r="O68" s="2"/>
    </row>
    <row r="69" spans="1:254" s="68" customFormat="1" ht="15" hidden="1" customHeight="1" outlineLevel="1" x14ac:dyDescent="0.25">
      <c r="B69" s="16" t="s">
        <v>80</v>
      </c>
      <c r="C69" s="31">
        <v>1000</v>
      </c>
      <c r="D69" s="31">
        <v>1000</v>
      </c>
      <c r="E69" s="35"/>
      <c r="F69" s="31">
        <f t="shared" si="5"/>
        <v>0</v>
      </c>
      <c r="G69" s="31">
        <f t="shared" si="4"/>
        <v>0</v>
      </c>
      <c r="H69" s="4"/>
      <c r="I69" s="4"/>
      <c r="J69" s="4"/>
      <c r="K69" s="4"/>
      <c r="L69" s="4"/>
      <c r="M69" s="4"/>
      <c r="N69" s="4"/>
      <c r="O69" s="2"/>
    </row>
    <row r="70" spans="1:254" s="68" customFormat="1" ht="15" hidden="1" customHeight="1" outlineLevel="1" collapsed="1" x14ac:dyDescent="0.25">
      <c r="B70" s="16" t="s">
        <v>81</v>
      </c>
      <c r="C70" s="31">
        <v>1000</v>
      </c>
      <c r="D70" s="31">
        <v>1000</v>
      </c>
      <c r="E70" s="35"/>
      <c r="F70" s="31">
        <f t="shared" si="5"/>
        <v>0</v>
      </c>
      <c r="G70" s="31">
        <f t="shared" si="4"/>
        <v>0</v>
      </c>
      <c r="H70" s="4"/>
      <c r="I70" s="4"/>
      <c r="J70" s="4"/>
      <c r="K70" s="4"/>
      <c r="L70" s="4"/>
      <c r="M70" s="4"/>
      <c r="N70" s="4"/>
      <c r="O70" s="2"/>
    </row>
    <row r="71" spans="1:254" s="68" customFormat="1" ht="15" hidden="1" customHeight="1" outlineLevel="1" collapsed="1" x14ac:dyDescent="0.25">
      <c r="B71" s="16" t="s">
        <v>82</v>
      </c>
      <c r="C71" s="31">
        <v>1000</v>
      </c>
      <c r="D71" s="31">
        <v>1000</v>
      </c>
      <c r="E71" s="35"/>
      <c r="F71" s="31">
        <f t="shared" si="5"/>
        <v>0</v>
      </c>
      <c r="G71" s="31">
        <f t="shared" si="4"/>
        <v>0</v>
      </c>
      <c r="H71" s="4"/>
      <c r="I71" s="4"/>
      <c r="J71" s="4"/>
      <c r="K71" s="4"/>
      <c r="L71" s="4"/>
      <c r="M71" s="4"/>
      <c r="N71" s="4"/>
      <c r="O71" s="2"/>
    </row>
    <row r="72" spans="1:254" s="68" customFormat="1" ht="14.25" hidden="1" outlineLevel="1" x14ac:dyDescent="0.25">
      <c r="B72" s="16" t="s">
        <v>15</v>
      </c>
      <c r="C72" s="31">
        <v>1000</v>
      </c>
      <c r="D72" s="31">
        <v>1000</v>
      </c>
      <c r="E72" s="35"/>
      <c r="F72" s="31">
        <f t="shared" si="5"/>
        <v>0</v>
      </c>
      <c r="G72" s="31">
        <f t="shared" ref="G72:G97" si="6">IF(D72=0, 0, (C72-D72)/ABS(D72))</f>
        <v>0</v>
      </c>
      <c r="H72" s="4"/>
      <c r="I72" s="4"/>
      <c r="J72" s="4"/>
      <c r="K72" s="4"/>
      <c r="L72" s="4"/>
      <c r="M72" s="4"/>
      <c r="N72" s="4"/>
      <c r="O72" s="70">
        <f>+O70</f>
        <v>0</v>
      </c>
    </row>
    <row r="73" spans="1:254" s="68" customFormat="1" ht="14.25" hidden="1" outlineLevel="1" x14ac:dyDescent="0.25">
      <c r="B73" s="16" t="s">
        <v>137</v>
      </c>
      <c r="C73" s="31">
        <v>1000</v>
      </c>
      <c r="D73" s="31">
        <v>1000</v>
      </c>
      <c r="E73" s="35"/>
      <c r="F73" s="31">
        <f t="shared" si="5"/>
        <v>0</v>
      </c>
      <c r="G73" s="31">
        <f t="shared" si="6"/>
        <v>0</v>
      </c>
      <c r="H73" s="4"/>
      <c r="I73" s="4"/>
      <c r="J73" s="4"/>
      <c r="K73" s="4"/>
      <c r="L73" s="4"/>
      <c r="M73" s="4"/>
      <c r="N73" s="4"/>
      <c r="O73" s="70"/>
    </row>
    <row r="74" spans="1:254" s="68" customFormat="1" ht="14.25" hidden="1" outlineLevel="1" x14ac:dyDescent="0.25">
      <c r="B74" s="16" t="s">
        <v>138</v>
      </c>
      <c r="C74" s="31">
        <v>1000</v>
      </c>
      <c r="D74" s="31">
        <v>1000</v>
      </c>
      <c r="E74" s="35"/>
      <c r="F74" s="31">
        <f t="shared" si="5"/>
        <v>0</v>
      </c>
      <c r="G74" s="31">
        <f t="shared" si="6"/>
        <v>0</v>
      </c>
      <c r="H74" s="4"/>
      <c r="I74" s="4"/>
      <c r="J74" s="4"/>
      <c r="K74" s="4"/>
      <c r="L74" s="4"/>
      <c r="M74" s="4"/>
      <c r="N74" s="4"/>
    </row>
    <row r="75" spans="1:254" s="68" customFormat="1" ht="14.25" hidden="1" outlineLevel="1" x14ac:dyDescent="0.25">
      <c r="B75" s="22" t="s">
        <v>83</v>
      </c>
      <c r="C75" s="19">
        <f>SUBTOTAL(9, C26:C74)</f>
        <v>49000</v>
      </c>
      <c r="D75" s="19">
        <f>SUBTOTAL(9, D26:D74)</f>
        <v>49000</v>
      </c>
      <c r="E75" s="20"/>
      <c r="F75" s="19">
        <f>SUBTOTAL(9, F26:F74)</f>
        <v>0</v>
      </c>
      <c r="G75" s="19">
        <f t="shared" si="6"/>
        <v>0</v>
      </c>
      <c r="H75" s="4"/>
      <c r="I75" s="4"/>
      <c r="J75" s="4"/>
      <c r="K75" s="4"/>
      <c r="L75" s="4"/>
      <c r="M75" s="4"/>
      <c r="N75" s="4"/>
    </row>
    <row r="76" spans="1:254" s="68" customFormat="1" ht="14.25" collapsed="1" x14ac:dyDescent="0.25">
      <c r="B76" s="22" t="s">
        <v>154</v>
      </c>
      <c r="C76" s="19">
        <f>C25+C75</f>
        <v>59000</v>
      </c>
      <c r="D76" s="19">
        <f>D25+D75</f>
        <v>59000</v>
      </c>
      <c r="E76" s="20"/>
      <c r="F76" s="19">
        <f>F25+F75</f>
        <v>0</v>
      </c>
      <c r="G76" s="19">
        <f t="shared" si="6"/>
        <v>0</v>
      </c>
      <c r="H76" s="4"/>
      <c r="I76" s="4"/>
      <c r="J76" s="4"/>
      <c r="K76" s="4"/>
      <c r="L76" s="4"/>
      <c r="M76" s="4"/>
      <c r="N76" s="4"/>
    </row>
    <row r="77" spans="1:254" s="1" customFormat="1" ht="14.25" hidden="1" outlineLevel="1" x14ac:dyDescent="0.25">
      <c r="B77" s="16" t="s">
        <v>84</v>
      </c>
      <c r="C77" s="31">
        <v>1000</v>
      </c>
      <c r="D77" s="31">
        <v>1000</v>
      </c>
      <c r="E77" s="35"/>
      <c r="F77" s="31">
        <f t="shared" ref="F77:F82" si="7">C77-D77</f>
        <v>0</v>
      </c>
      <c r="G77" s="31">
        <f t="shared" si="6"/>
        <v>0</v>
      </c>
      <c r="H77" s="4"/>
      <c r="I77" s="4"/>
      <c r="J77" s="4"/>
      <c r="K77" s="4"/>
      <c r="L77" s="4"/>
      <c r="M77" s="4"/>
      <c r="N77" s="4"/>
      <c r="O77" s="68"/>
    </row>
    <row r="78" spans="1:254" s="1" customFormat="1" ht="14.25" hidden="1" outlineLevel="1" x14ac:dyDescent="0.25">
      <c r="B78" s="16" t="s">
        <v>85</v>
      </c>
      <c r="C78" s="31">
        <v>1000</v>
      </c>
      <c r="D78" s="31">
        <v>1000</v>
      </c>
      <c r="E78" s="35"/>
      <c r="F78" s="31">
        <f t="shared" si="7"/>
        <v>0</v>
      </c>
      <c r="G78" s="31">
        <f t="shared" si="6"/>
        <v>0</v>
      </c>
      <c r="H78" s="4"/>
      <c r="I78" s="4"/>
      <c r="J78" s="4"/>
      <c r="K78" s="4"/>
      <c r="L78" s="4"/>
      <c r="M78" s="4"/>
      <c r="N78" s="4"/>
      <c r="O78" s="68"/>
    </row>
    <row r="79" spans="1:254" s="1" customFormat="1" ht="14.25" hidden="1" outlineLevel="1" collapsed="1" x14ac:dyDescent="0.25">
      <c r="B79" s="16" t="s">
        <v>86</v>
      </c>
      <c r="C79" s="31">
        <v>1000</v>
      </c>
      <c r="D79" s="31">
        <v>1000</v>
      </c>
      <c r="E79" s="35"/>
      <c r="F79" s="31">
        <f t="shared" si="7"/>
        <v>0</v>
      </c>
      <c r="G79" s="31">
        <f t="shared" si="6"/>
        <v>0</v>
      </c>
      <c r="H79" s="4"/>
      <c r="I79" s="4"/>
      <c r="J79" s="4"/>
      <c r="K79" s="4"/>
      <c r="L79" s="4"/>
      <c r="M79" s="4"/>
      <c r="N79" s="4"/>
      <c r="O79" s="68"/>
    </row>
    <row r="80" spans="1:254" s="1" customFormat="1" ht="14.25" hidden="1" outlineLevel="1" x14ac:dyDescent="0.25">
      <c r="B80" s="16" t="s">
        <v>87</v>
      </c>
      <c r="C80" s="31">
        <v>1000</v>
      </c>
      <c r="D80" s="31">
        <v>1000</v>
      </c>
      <c r="E80" s="35"/>
      <c r="F80" s="31">
        <f t="shared" si="7"/>
        <v>0</v>
      </c>
      <c r="G80" s="31">
        <f t="shared" si="6"/>
        <v>0</v>
      </c>
      <c r="H80" s="4"/>
      <c r="I80" s="4"/>
      <c r="J80" s="4"/>
      <c r="K80" s="4"/>
      <c r="L80" s="4"/>
      <c r="M80" s="4"/>
      <c r="N80" s="4"/>
      <c r="O80" s="68"/>
    </row>
    <row r="81" spans="2:15" s="1" customFormat="1" ht="14.25" hidden="1" outlineLevel="1" x14ac:dyDescent="0.25">
      <c r="B81" s="16" t="s">
        <v>88</v>
      </c>
      <c r="C81" s="31">
        <v>1000</v>
      </c>
      <c r="D81" s="31">
        <v>1000</v>
      </c>
      <c r="E81" s="35"/>
      <c r="F81" s="31">
        <f t="shared" si="7"/>
        <v>0</v>
      </c>
      <c r="G81" s="31">
        <f t="shared" si="6"/>
        <v>0</v>
      </c>
      <c r="H81" s="4"/>
      <c r="I81" s="4"/>
      <c r="J81" s="4"/>
      <c r="K81" s="4"/>
      <c r="L81" s="4"/>
      <c r="M81" s="4"/>
      <c r="N81" s="4"/>
      <c r="O81" s="68"/>
    </row>
    <row r="82" spans="2:15" s="1" customFormat="1" ht="14.25" hidden="1" outlineLevel="1" x14ac:dyDescent="0.25">
      <c r="B82" s="16" t="s">
        <v>89</v>
      </c>
      <c r="C82" s="31">
        <v>1000</v>
      </c>
      <c r="D82" s="31">
        <v>1000</v>
      </c>
      <c r="E82" s="35"/>
      <c r="F82" s="31">
        <f t="shared" si="7"/>
        <v>0</v>
      </c>
      <c r="G82" s="31">
        <f t="shared" si="6"/>
        <v>0</v>
      </c>
      <c r="H82" s="4"/>
      <c r="I82" s="4"/>
      <c r="J82" s="4"/>
      <c r="K82" s="4"/>
      <c r="L82" s="4"/>
      <c r="M82" s="4"/>
      <c r="N82" s="4"/>
      <c r="O82" s="68"/>
    </row>
    <row r="83" spans="2:15" s="1" customFormat="1" ht="14.25" hidden="1" outlineLevel="1" x14ac:dyDescent="0.25">
      <c r="B83" s="22" t="s">
        <v>90</v>
      </c>
      <c r="C83" s="19">
        <f>SUBTOTAL(9, C77:C82)</f>
        <v>6000</v>
      </c>
      <c r="D83" s="19">
        <f>SUBTOTAL(9, D77:D82)</f>
        <v>6000</v>
      </c>
      <c r="E83" s="20"/>
      <c r="F83" s="19">
        <f>SUBTOTAL(9, F77:F82)</f>
        <v>0</v>
      </c>
      <c r="G83" s="19">
        <f t="shared" si="6"/>
        <v>0</v>
      </c>
      <c r="H83" s="4"/>
      <c r="I83" s="4"/>
      <c r="J83" s="4"/>
      <c r="K83" s="4"/>
      <c r="L83" s="4"/>
      <c r="M83" s="4"/>
      <c r="N83" s="4"/>
      <c r="O83" s="68"/>
    </row>
    <row r="84" spans="2:15" s="1" customFormat="1" ht="14.25" collapsed="1" x14ac:dyDescent="0.25">
      <c r="B84" s="22" t="s">
        <v>155</v>
      </c>
      <c r="C84" s="19">
        <f>C76+C83</f>
        <v>65000</v>
      </c>
      <c r="D84" s="19">
        <f>D76+D83</f>
        <v>65000</v>
      </c>
      <c r="E84" s="20"/>
      <c r="F84" s="19">
        <f>F76+F83</f>
        <v>0</v>
      </c>
      <c r="G84" s="19">
        <f t="shared" si="6"/>
        <v>0</v>
      </c>
      <c r="H84" s="4"/>
      <c r="I84" s="4"/>
      <c r="J84" s="4"/>
      <c r="K84" s="4"/>
      <c r="L84" s="4"/>
      <c r="M84" s="4"/>
      <c r="N84" s="4"/>
      <c r="O84" s="68"/>
    </row>
    <row r="85" spans="2:15" s="1" customFormat="1" ht="14.25" hidden="1" outlineLevel="1" x14ac:dyDescent="0.25">
      <c r="B85" s="16" t="s">
        <v>91</v>
      </c>
      <c r="C85" s="31">
        <v>1000</v>
      </c>
      <c r="D85" s="31">
        <v>1000</v>
      </c>
      <c r="E85" s="35"/>
      <c r="F85" s="31">
        <f t="shared" ref="F85:F95" si="8">C85-D85</f>
        <v>0</v>
      </c>
      <c r="G85" s="31">
        <f t="shared" si="6"/>
        <v>0</v>
      </c>
      <c r="H85" s="4"/>
      <c r="I85" s="4"/>
      <c r="J85" s="4"/>
      <c r="K85" s="4"/>
      <c r="L85" s="4"/>
      <c r="M85" s="4"/>
      <c r="N85" s="4"/>
      <c r="O85" s="68"/>
    </row>
    <row r="86" spans="2:15" s="1" customFormat="1" ht="14.25" hidden="1" outlineLevel="1" x14ac:dyDescent="0.25">
      <c r="B86" s="16" t="s">
        <v>92</v>
      </c>
      <c r="C86" s="31">
        <v>1000</v>
      </c>
      <c r="D86" s="31">
        <v>1000</v>
      </c>
      <c r="E86" s="35"/>
      <c r="F86" s="31">
        <f t="shared" si="8"/>
        <v>0</v>
      </c>
      <c r="G86" s="31">
        <f t="shared" si="6"/>
        <v>0</v>
      </c>
      <c r="H86" s="4"/>
      <c r="I86" s="4"/>
      <c r="J86" s="4"/>
      <c r="K86" s="4"/>
      <c r="L86" s="4"/>
      <c r="M86" s="4"/>
      <c r="N86" s="4"/>
      <c r="O86" s="68"/>
    </row>
    <row r="87" spans="2:15" s="1" customFormat="1" ht="14.25" hidden="1" outlineLevel="1" x14ac:dyDescent="0.25">
      <c r="B87" s="16" t="s">
        <v>93</v>
      </c>
      <c r="C87" s="31">
        <v>1000</v>
      </c>
      <c r="D87" s="31">
        <v>1000</v>
      </c>
      <c r="E87" s="35"/>
      <c r="F87" s="31">
        <f t="shared" si="8"/>
        <v>0</v>
      </c>
      <c r="G87" s="31">
        <f t="shared" si="6"/>
        <v>0</v>
      </c>
      <c r="H87" s="4"/>
      <c r="I87" s="4"/>
      <c r="J87" s="4"/>
      <c r="K87" s="4"/>
      <c r="L87" s="4"/>
      <c r="M87" s="4"/>
      <c r="N87" s="4"/>
    </row>
    <row r="88" spans="2:15" s="1" customFormat="1" ht="14.25" hidden="1" outlineLevel="1" x14ac:dyDescent="0.25">
      <c r="B88" s="16" t="s">
        <v>94</v>
      </c>
      <c r="C88" s="31">
        <v>1000</v>
      </c>
      <c r="D88" s="31">
        <v>1000</v>
      </c>
      <c r="E88" s="35"/>
      <c r="F88" s="31">
        <f t="shared" si="8"/>
        <v>0</v>
      </c>
      <c r="G88" s="31">
        <f t="shared" si="6"/>
        <v>0</v>
      </c>
      <c r="H88" s="4"/>
      <c r="I88" s="4"/>
      <c r="J88" s="4"/>
      <c r="K88" s="4"/>
      <c r="L88" s="4"/>
      <c r="M88" s="4"/>
      <c r="N88" s="4"/>
    </row>
    <row r="89" spans="2:15" s="1" customFormat="1" ht="14.25" hidden="1" outlineLevel="1" x14ac:dyDescent="0.25">
      <c r="B89" s="16" t="s">
        <v>95</v>
      </c>
      <c r="C89" s="31">
        <v>1000</v>
      </c>
      <c r="D89" s="31">
        <v>1000</v>
      </c>
      <c r="E89" s="35"/>
      <c r="F89" s="31">
        <f t="shared" si="8"/>
        <v>0</v>
      </c>
      <c r="G89" s="31">
        <f t="shared" si="6"/>
        <v>0</v>
      </c>
      <c r="H89" s="4"/>
      <c r="I89" s="4"/>
      <c r="J89" s="4"/>
      <c r="K89" s="4"/>
      <c r="L89" s="4"/>
      <c r="M89" s="4"/>
      <c r="N89" s="4"/>
    </row>
    <row r="90" spans="2:15" s="1" customFormat="1" ht="14.25" hidden="1" outlineLevel="1" x14ac:dyDescent="0.25">
      <c r="B90" s="16" t="s">
        <v>96</v>
      </c>
      <c r="C90" s="31">
        <v>1000</v>
      </c>
      <c r="D90" s="31">
        <v>1000</v>
      </c>
      <c r="E90" s="35"/>
      <c r="F90" s="31">
        <f t="shared" si="8"/>
        <v>0</v>
      </c>
      <c r="G90" s="31">
        <f t="shared" si="6"/>
        <v>0</v>
      </c>
      <c r="H90" s="4"/>
      <c r="I90" s="4"/>
      <c r="J90" s="4"/>
      <c r="K90" s="4"/>
      <c r="L90" s="4"/>
      <c r="M90" s="4"/>
      <c r="N90" s="4"/>
    </row>
    <row r="91" spans="2:15" s="1" customFormat="1" ht="14.25" hidden="1" outlineLevel="1" x14ac:dyDescent="0.25">
      <c r="B91" s="16" t="s">
        <v>97</v>
      </c>
      <c r="C91" s="31">
        <v>1000</v>
      </c>
      <c r="D91" s="31">
        <v>1000</v>
      </c>
      <c r="E91" s="35"/>
      <c r="F91" s="31">
        <f t="shared" si="8"/>
        <v>0</v>
      </c>
      <c r="G91" s="31">
        <f t="shared" si="6"/>
        <v>0</v>
      </c>
      <c r="H91" s="4"/>
      <c r="I91" s="4"/>
      <c r="J91" s="4"/>
      <c r="K91" s="4"/>
      <c r="L91" s="4"/>
      <c r="M91" s="4"/>
      <c r="N91" s="4"/>
    </row>
    <row r="92" spans="2:15" s="1" customFormat="1" ht="14.25" hidden="1" outlineLevel="1" collapsed="1" x14ac:dyDescent="0.25">
      <c r="B92" s="16" t="s">
        <v>36</v>
      </c>
      <c r="C92" s="31">
        <v>1000</v>
      </c>
      <c r="D92" s="31">
        <v>1000</v>
      </c>
      <c r="E92" s="35"/>
      <c r="F92" s="31">
        <f t="shared" si="8"/>
        <v>0</v>
      </c>
      <c r="G92" s="31">
        <f t="shared" si="6"/>
        <v>0</v>
      </c>
      <c r="H92" s="4"/>
      <c r="I92" s="4"/>
      <c r="J92" s="4"/>
      <c r="K92" s="4"/>
      <c r="L92" s="4"/>
      <c r="M92" s="4"/>
      <c r="N92" s="4"/>
    </row>
    <row r="93" spans="2:15" s="1" customFormat="1" ht="14.25" hidden="1" outlineLevel="1" x14ac:dyDescent="0.25">
      <c r="B93" s="16" t="s">
        <v>98</v>
      </c>
      <c r="C93" s="31">
        <v>1000</v>
      </c>
      <c r="D93" s="31">
        <v>1000</v>
      </c>
      <c r="E93" s="35"/>
      <c r="F93" s="31">
        <f t="shared" si="8"/>
        <v>0</v>
      </c>
      <c r="G93" s="31">
        <f t="shared" si="6"/>
        <v>0</v>
      </c>
      <c r="H93" s="4"/>
      <c r="I93" s="4"/>
      <c r="J93" s="4"/>
      <c r="K93" s="4"/>
      <c r="L93" s="4"/>
      <c r="M93" s="4"/>
      <c r="N93" s="4"/>
    </row>
    <row r="94" spans="2:15" s="1" customFormat="1" ht="14.25" hidden="1" outlineLevel="1" x14ac:dyDescent="0.25">
      <c r="B94" s="16" t="s">
        <v>99</v>
      </c>
      <c r="C94" s="31">
        <v>1000</v>
      </c>
      <c r="D94" s="31">
        <v>1000</v>
      </c>
      <c r="E94" s="35"/>
      <c r="F94" s="31">
        <f t="shared" si="8"/>
        <v>0</v>
      </c>
      <c r="G94" s="31">
        <f t="shared" si="6"/>
        <v>0</v>
      </c>
      <c r="H94" s="4"/>
      <c r="I94" s="4"/>
      <c r="J94" s="4"/>
      <c r="K94" s="4"/>
      <c r="L94" s="4"/>
      <c r="M94" s="4"/>
      <c r="N94" s="4"/>
    </row>
    <row r="95" spans="2:15" s="1" customFormat="1" ht="14.25" hidden="1" outlineLevel="1" x14ac:dyDescent="0.25">
      <c r="B95" s="16" t="s">
        <v>100</v>
      </c>
      <c r="C95" s="31">
        <v>1000</v>
      </c>
      <c r="D95" s="31">
        <v>1000</v>
      </c>
      <c r="E95" s="35"/>
      <c r="F95" s="31">
        <f t="shared" si="8"/>
        <v>0</v>
      </c>
      <c r="G95" s="31">
        <f t="shared" si="6"/>
        <v>0</v>
      </c>
      <c r="H95" s="4"/>
      <c r="I95" s="4"/>
      <c r="J95" s="4"/>
      <c r="K95" s="4"/>
      <c r="L95" s="4"/>
      <c r="M95" s="4"/>
      <c r="N95" s="4"/>
    </row>
    <row r="96" spans="2:15" s="1" customFormat="1" ht="14.25" x14ac:dyDescent="0.25">
      <c r="B96" s="22" t="s">
        <v>156</v>
      </c>
      <c r="C96" s="19">
        <f>SUBTOTAL(9, C85:C95)</f>
        <v>11000</v>
      </c>
      <c r="D96" s="19">
        <f>SUBTOTAL(9, D85:D95)</f>
        <v>11000</v>
      </c>
      <c r="E96" s="20"/>
      <c r="F96" s="19">
        <f>SUBTOTAL(9, F85:F95)</f>
        <v>0</v>
      </c>
      <c r="G96" s="19">
        <f t="shared" si="6"/>
        <v>0</v>
      </c>
      <c r="H96" s="4"/>
      <c r="I96" s="4"/>
      <c r="J96" s="4"/>
      <c r="K96" s="4"/>
      <c r="L96" s="4"/>
      <c r="M96" s="4"/>
      <c r="N96" s="4"/>
    </row>
    <row r="97" spans="2:14" s="1" customFormat="1" ht="14.25" collapsed="1" x14ac:dyDescent="0.25">
      <c r="B97" s="25" t="s">
        <v>157</v>
      </c>
      <c r="C97" s="26">
        <f>C14+C84+C96</f>
        <v>82000</v>
      </c>
      <c r="D97" s="26">
        <f>D14+D84+D96</f>
        <v>82000</v>
      </c>
      <c r="E97" s="26"/>
      <c r="F97" s="26">
        <f>F14+F84+F96</f>
        <v>0</v>
      </c>
      <c r="G97" s="26">
        <f t="shared" si="6"/>
        <v>0</v>
      </c>
      <c r="H97" s="4"/>
      <c r="I97" s="4"/>
      <c r="J97" s="4"/>
      <c r="K97" s="4"/>
      <c r="L97" s="4"/>
      <c r="M97" s="4"/>
      <c r="N97" s="4"/>
    </row>
    <row r="98" spans="2:14" s="1" customFormat="1" ht="14.25" x14ac:dyDescent="0.25">
      <c r="B98" s="57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s="1" customFormat="1" ht="14.25" x14ac:dyDescent="0.25"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</row>
    <row r="100" spans="2:14" s="1" customFormat="1" ht="71.25" x14ac:dyDescent="0.25"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72" t="s">
        <v>21</v>
      </c>
    </row>
    <row r="101" spans="2:14" s="1" customFormat="1" ht="14.25" x14ac:dyDescent="0.25"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</row>
    <row r="102" spans="2:14" s="1" customFormat="1" ht="14.25" x14ac:dyDescent="0.25"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</row>
    <row r="103" spans="2:14" s="1" customFormat="1" ht="14.25" x14ac:dyDescent="0.25"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</row>
    <row r="104" spans="2:14" s="1" customFormat="1" ht="14.25" x14ac:dyDescent="0.25"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</row>
    <row r="105" spans="2:14" s="1" customFormat="1" ht="14.25" x14ac:dyDescent="0.25"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</row>
    <row r="106" spans="2:14" s="1" customFormat="1" ht="14.25" x14ac:dyDescent="0.25"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</row>
    <row r="107" spans="2:14" s="1" customFormat="1" ht="14.25" x14ac:dyDescent="0.25"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</row>
    <row r="108" spans="2:14" s="1" customFormat="1" ht="14.25" x14ac:dyDescent="0.25"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</row>
    <row r="109" spans="2:14" s="1" customFormat="1" ht="14.25" x14ac:dyDescent="0.25"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</row>
    <row r="110" spans="2:14" s="1" customFormat="1" ht="14.25" x14ac:dyDescent="0.25"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</row>
    <row r="111" spans="2:14" s="1" customFormat="1" ht="14.25" x14ac:dyDescent="0.25"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</row>
    <row r="112" spans="2:14" s="1" customFormat="1" ht="14.25" x14ac:dyDescent="0.25"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</row>
    <row r="113" spans="2:14" s="1" customFormat="1" ht="14.25" x14ac:dyDescent="0.25"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</row>
    <row r="114" spans="2:14" s="1" customFormat="1" ht="14.25" x14ac:dyDescent="0.25"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</row>
    <row r="115" spans="2:14" s="1" customFormat="1" ht="14.25" x14ac:dyDescent="0.25"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</row>
    <row r="116" spans="2:14" s="1" customFormat="1" ht="14.25" x14ac:dyDescent="0.25"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</row>
    <row r="117" spans="2:14" s="1" customFormat="1" x14ac:dyDescent="0.25"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</row>
    <row r="118" spans="2:14" s="1" customFormat="1" x14ac:dyDescent="0.25"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</row>
    <row r="119" spans="2:14" s="1" customFormat="1" x14ac:dyDescent="0.25"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</row>
    <row r="120" spans="2:14" s="1" customFormat="1" x14ac:dyDescent="0.25"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</row>
    <row r="121" spans="2:14" s="1" customFormat="1" x14ac:dyDescent="0.25"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</row>
    <row r="122" spans="2:14" s="1" customFormat="1" x14ac:dyDescent="0.25"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</row>
    <row r="123" spans="2:14" s="1" customFormat="1" x14ac:dyDescent="0.25"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</row>
    <row r="124" spans="2:14" s="1" customFormat="1" x14ac:dyDescent="0.25"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</row>
    <row r="125" spans="2:14" s="1" customFormat="1" x14ac:dyDescent="0.25"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</row>
    <row r="126" spans="2:14" s="1" customFormat="1" x14ac:dyDescent="0.25"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</row>
    <row r="127" spans="2:14" s="1" customFormat="1" x14ac:dyDescent="0.25"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</row>
    <row r="128" spans="2:14" s="1" customFormat="1" x14ac:dyDescent="0.25"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</row>
    <row r="129" spans="2:14" s="1" customFormat="1" x14ac:dyDescent="0.25"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</row>
    <row r="130" spans="2:14" s="1" customFormat="1" x14ac:dyDescent="0.25"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</row>
    <row r="131" spans="2:14" s="1" customFormat="1" x14ac:dyDescent="0.25"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</row>
    <row r="132" spans="2:14" s="1" customFormat="1" x14ac:dyDescent="0.25"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</row>
    <row r="133" spans="2:14" s="1" customFormat="1" x14ac:dyDescent="0.25"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</row>
    <row r="134" spans="2:14" s="1" customFormat="1" x14ac:dyDescent="0.25"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</row>
    <row r="135" spans="2:14" s="1" customFormat="1" x14ac:dyDescent="0.25"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</row>
    <row r="136" spans="2:14" s="1" customFormat="1" x14ac:dyDescent="0.25"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</row>
    <row r="137" spans="2:14" s="1" customFormat="1" x14ac:dyDescent="0.25"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</row>
    <row r="138" spans="2:14" s="1" customFormat="1" x14ac:dyDescent="0.25"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</row>
    <row r="139" spans="2:14" s="1" customFormat="1" x14ac:dyDescent="0.25"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</row>
    <row r="140" spans="2:14" s="1" customFormat="1" x14ac:dyDescent="0.25"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</row>
    <row r="141" spans="2:14" s="1" customFormat="1" x14ac:dyDescent="0.25"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</row>
  </sheetData>
  <mergeCells count="2">
    <mergeCell ref="E2:I2"/>
    <mergeCell ref="B3:C3"/>
  </mergeCells>
  <pageMargins left="0.75" right="0.75" top="1" bottom="1" header="0.5" footer="0.5"/>
  <headerFooter alignWithMargins="0"/>
  <customProperties>
    <customPr name="TGK_SHEET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5"/>
  <sheetViews>
    <sheetView showGridLines="0" showRowColHeaders="0" workbookViewId="0">
      <selection activeCell="A3" sqref="A3"/>
    </sheetView>
  </sheetViews>
  <sheetFormatPr defaultRowHeight="15" x14ac:dyDescent="0.25"/>
  <cols>
    <col min="1" max="1" width="1.28515625" customWidth="1"/>
    <col min="2" max="2" width="10" customWidth="1"/>
    <col min="3" max="3" width="17.28515625" customWidth="1"/>
    <col min="4" max="8" width="11" customWidth="1"/>
    <col min="9" max="9" width="1.28515625" customWidth="1"/>
    <col min="10" max="14" width="11" customWidth="1"/>
    <col min="15" max="15" width="1.28515625" customWidth="1"/>
    <col min="16" max="20" width="11" customWidth="1"/>
  </cols>
  <sheetData>
    <row r="1" spans="1:20" ht="23.65" customHeight="1" x14ac:dyDescent="0.25">
      <c r="A1" s="87" t="s">
        <v>117</v>
      </c>
      <c r="B1" s="87"/>
      <c r="C1" s="87"/>
      <c r="D1" s="87"/>
      <c r="E1" s="87"/>
    </row>
    <row r="2" spans="1:20" ht="10.15" hidden="1" customHeight="1" x14ac:dyDescent="0.25"/>
    <row r="3" spans="1:20" ht="9.4" customHeight="1" x14ac:dyDescent="0.25"/>
    <row r="4" spans="1:20" ht="16.899999999999999" customHeight="1" thickBot="1" x14ac:dyDescent="0.3">
      <c r="B4" s="30"/>
      <c r="D4" s="84" t="str">
        <f>D5</f>
        <v>Budget Scenario</v>
      </c>
      <c r="E4" s="85"/>
      <c r="F4" s="85"/>
      <c r="G4" s="85"/>
      <c r="H4" s="86"/>
      <c r="J4" s="84" t="str">
        <f>J5</f>
        <v>Budget Scenario (ref3)</v>
      </c>
      <c r="K4" s="85"/>
      <c r="L4" s="85"/>
      <c r="M4" s="85"/>
      <c r="N4" s="86"/>
      <c r="P4" s="84" t="s">
        <v>125</v>
      </c>
      <c r="Q4" s="85"/>
      <c r="R4" s="85"/>
      <c r="S4" s="85"/>
      <c r="T4" s="86"/>
    </row>
    <row r="5" spans="1:20" ht="30.6" hidden="1" thickBot="1" x14ac:dyDescent="0.3">
      <c r="D5" s="14" t="s">
        <v>40</v>
      </c>
      <c r="E5" s="14"/>
      <c r="F5" s="14"/>
      <c r="G5" s="14"/>
      <c r="H5" s="14"/>
      <c r="I5" s="34"/>
      <c r="J5" s="14" t="s">
        <v>101</v>
      </c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 ht="15.75" thickTop="1" thickBot="1" x14ac:dyDescent="0.3">
      <c r="D6" s="14" t="s">
        <v>22</v>
      </c>
      <c r="E6" s="14" t="s">
        <v>103</v>
      </c>
      <c r="F6" s="14" t="s">
        <v>104</v>
      </c>
      <c r="G6" s="14" t="s">
        <v>105</v>
      </c>
      <c r="H6" s="14" t="s">
        <v>39</v>
      </c>
      <c r="I6" s="34"/>
      <c r="J6" s="14" t="s">
        <v>22</v>
      </c>
      <c r="K6" s="14" t="s">
        <v>103</v>
      </c>
      <c r="L6" s="14" t="s">
        <v>104</v>
      </c>
      <c r="M6" s="14" t="s">
        <v>105</v>
      </c>
      <c r="N6" s="14" t="s">
        <v>39</v>
      </c>
      <c r="O6" s="34"/>
      <c r="P6" s="14" t="s">
        <v>22</v>
      </c>
      <c r="Q6" s="14" t="s">
        <v>103</v>
      </c>
      <c r="R6" s="14" t="s">
        <v>104</v>
      </c>
      <c r="S6" s="14" t="s">
        <v>105</v>
      </c>
      <c r="T6" s="14" t="s">
        <v>39</v>
      </c>
    </row>
    <row r="7" spans="1:20" thickTop="1" x14ac:dyDescent="0.25">
      <c r="B7" s="16" t="s">
        <v>106</v>
      </c>
      <c r="C7" s="16" t="s">
        <v>107</v>
      </c>
      <c r="D7" s="31">
        <v>1000</v>
      </c>
      <c r="E7" s="31">
        <v>1000</v>
      </c>
      <c r="F7" s="31">
        <v>1000</v>
      </c>
      <c r="G7" s="31">
        <v>1000</v>
      </c>
      <c r="H7" s="31">
        <f t="shared" ref="H7:H12" si="0">SUM(D7:G7)</f>
        <v>4000</v>
      </c>
      <c r="I7" s="35"/>
      <c r="J7" s="31">
        <v>1000</v>
      </c>
      <c r="K7" s="31">
        <v>1000</v>
      </c>
      <c r="L7" s="31">
        <v>1000</v>
      </c>
      <c r="M7" s="31">
        <v>1000</v>
      </c>
      <c r="N7" s="31">
        <f t="shared" ref="N7:N12" si="1">SUM(J7:M7)</f>
        <v>4000</v>
      </c>
      <c r="O7" s="31"/>
      <c r="P7" s="31">
        <f t="shared" ref="P7:T12" si="2">D7-J7</f>
        <v>0</v>
      </c>
      <c r="Q7" s="31">
        <f t="shared" si="2"/>
        <v>0</v>
      </c>
      <c r="R7" s="31">
        <f t="shared" si="2"/>
        <v>0</v>
      </c>
      <c r="S7" s="31">
        <f t="shared" si="2"/>
        <v>0</v>
      </c>
      <c r="T7" s="31">
        <f t="shared" si="2"/>
        <v>0</v>
      </c>
    </row>
    <row r="8" spans="1:20" ht="14.25" x14ac:dyDescent="0.25">
      <c r="B8" s="16"/>
      <c r="C8" s="16" t="s">
        <v>108</v>
      </c>
      <c r="D8" s="31">
        <v>1000</v>
      </c>
      <c r="E8" s="31">
        <v>1000</v>
      </c>
      <c r="F8" s="31">
        <v>1000</v>
      </c>
      <c r="G8" s="31">
        <v>1000</v>
      </c>
      <c r="H8" s="31">
        <f t="shared" si="0"/>
        <v>4000</v>
      </c>
      <c r="I8" s="35"/>
      <c r="J8" s="31">
        <v>1000</v>
      </c>
      <c r="K8" s="31">
        <v>1000</v>
      </c>
      <c r="L8" s="31">
        <v>1000</v>
      </c>
      <c r="M8" s="31">
        <v>1000</v>
      </c>
      <c r="N8" s="31">
        <f t="shared" si="1"/>
        <v>4000</v>
      </c>
      <c r="O8" s="31"/>
      <c r="P8" s="31">
        <f t="shared" si="2"/>
        <v>0</v>
      </c>
      <c r="Q8" s="31">
        <f t="shared" si="2"/>
        <v>0</v>
      </c>
      <c r="R8" s="31">
        <f t="shared" si="2"/>
        <v>0</v>
      </c>
      <c r="S8" s="31">
        <f t="shared" si="2"/>
        <v>0</v>
      </c>
      <c r="T8" s="31">
        <f t="shared" si="2"/>
        <v>0</v>
      </c>
    </row>
    <row r="9" spans="1:20" ht="14.25" x14ac:dyDescent="0.25">
      <c r="B9" s="16"/>
      <c r="C9" s="16" t="s">
        <v>109</v>
      </c>
      <c r="D9" s="31">
        <v>1000</v>
      </c>
      <c r="E9" s="31">
        <v>1000</v>
      </c>
      <c r="F9" s="31">
        <v>1000</v>
      </c>
      <c r="G9" s="31">
        <v>1000</v>
      </c>
      <c r="H9" s="31">
        <f t="shared" si="0"/>
        <v>4000</v>
      </c>
      <c r="I9" s="35"/>
      <c r="J9" s="31">
        <v>1000</v>
      </c>
      <c r="K9" s="31">
        <v>1000</v>
      </c>
      <c r="L9" s="31">
        <v>1000</v>
      </c>
      <c r="M9" s="31">
        <v>1000</v>
      </c>
      <c r="N9" s="31">
        <f t="shared" si="1"/>
        <v>4000</v>
      </c>
      <c r="O9" s="31"/>
      <c r="P9" s="31">
        <f t="shared" si="2"/>
        <v>0</v>
      </c>
      <c r="Q9" s="31">
        <f t="shared" si="2"/>
        <v>0</v>
      </c>
      <c r="R9" s="31">
        <f t="shared" si="2"/>
        <v>0</v>
      </c>
      <c r="S9" s="31">
        <f t="shared" si="2"/>
        <v>0</v>
      </c>
      <c r="T9" s="31">
        <f t="shared" si="2"/>
        <v>0</v>
      </c>
    </row>
    <row r="10" spans="1:20" ht="14.25" x14ac:dyDescent="0.25">
      <c r="B10" s="16"/>
      <c r="C10" s="16" t="s">
        <v>110</v>
      </c>
      <c r="D10" s="31">
        <v>1000</v>
      </c>
      <c r="E10" s="31">
        <v>1000</v>
      </c>
      <c r="F10" s="31">
        <v>1000</v>
      </c>
      <c r="G10" s="31">
        <v>1000</v>
      </c>
      <c r="H10" s="31">
        <f t="shared" si="0"/>
        <v>4000</v>
      </c>
      <c r="I10" s="35"/>
      <c r="J10" s="31">
        <v>1000</v>
      </c>
      <c r="K10" s="31">
        <v>1000</v>
      </c>
      <c r="L10" s="31">
        <v>1000</v>
      </c>
      <c r="M10" s="31">
        <v>1000</v>
      </c>
      <c r="N10" s="31">
        <f t="shared" si="1"/>
        <v>4000</v>
      </c>
      <c r="O10" s="31"/>
      <c r="P10" s="31">
        <f t="shared" si="2"/>
        <v>0</v>
      </c>
      <c r="Q10" s="31">
        <f t="shared" si="2"/>
        <v>0</v>
      </c>
      <c r="R10" s="31">
        <f t="shared" si="2"/>
        <v>0</v>
      </c>
      <c r="S10" s="31">
        <f t="shared" si="2"/>
        <v>0</v>
      </c>
      <c r="T10" s="31">
        <f t="shared" si="2"/>
        <v>0</v>
      </c>
    </row>
    <row r="11" spans="1:20" ht="14.25" x14ac:dyDescent="0.25">
      <c r="B11" s="16"/>
      <c r="C11" s="16" t="s">
        <v>111</v>
      </c>
      <c r="D11" s="31">
        <v>1000</v>
      </c>
      <c r="E11" s="31">
        <v>1000</v>
      </c>
      <c r="F11" s="31">
        <v>1000</v>
      </c>
      <c r="G11" s="31">
        <v>1000</v>
      </c>
      <c r="H11" s="31">
        <f t="shared" si="0"/>
        <v>4000</v>
      </c>
      <c r="I11" s="35"/>
      <c r="J11" s="31">
        <v>1000</v>
      </c>
      <c r="K11" s="31">
        <v>1000</v>
      </c>
      <c r="L11" s="31">
        <v>1000</v>
      </c>
      <c r="M11" s="31">
        <v>1000</v>
      </c>
      <c r="N11" s="31">
        <f t="shared" si="1"/>
        <v>4000</v>
      </c>
      <c r="O11" s="31"/>
      <c r="P11" s="31">
        <f t="shared" si="2"/>
        <v>0</v>
      </c>
      <c r="Q11" s="31">
        <f t="shared" si="2"/>
        <v>0</v>
      </c>
      <c r="R11" s="31">
        <f t="shared" si="2"/>
        <v>0</v>
      </c>
      <c r="S11" s="31">
        <f t="shared" si="2"/>
        <v>0</v>
      </c>
      <c r="T11" s="31">
        <f t="shared" si="2"/>
        <v>0</v>
      </c>
    </row>
    <row r="12" spans="1:20" ht="14.25" x14ac:dyDescent="0.25">
      <c r="B12" s="16"/>
      <c r="C12" s="16" t="s">
        <v>112</v>
      </c>
      <c r="D12" s="31">
        <v>1000</v>
      </c>
      <c r="E12" s="31">
        <v>1000</v>
      </c>
      <c r="F12" s="31">
        <v>1000</v>
      </c>
      <c r="G12" s="31">
        <v>1000</v>
      </c>
      <c r="H12" s="31">
        <f t="shared" si="0"/>
        <v>4000</v>
      </c>
      <c r="I12" s="35"/>
      <c r="J12" s="31">
        <v>1000</v>
      </c>
      <c r="K12" s="31">
        <v>1000</v>
      </c>
      <c r="L12" s="31">
        <v>1000</v>
      </c>
      <c r="M12" s="31">
        <v>1000</v>
      </c>
      <c r="N12" s="31">
        <f t="shared" si="1"/>
        <v>4000</v>
      </c>
      <c r="O12" s="31"/>
      <c r="P12" s="31">
        <f t="shared" si="2"/>
        <v>0</v>
      </c>
      <c r="Q12" s="31">
        <f t="shared" si="2"/>
        <v>0</v>
      </c>
      <c r="R12" s="31">
        <f t="shared" si="2"/>
        <v>0</v>
      </c>
      <c r="S12" s="31">
        <f t="shared" si="2"/>
        <v>0</v>
      </c>
      <c r="T12" s="31">
        <f t="shared" si="2"/>
        <v>0</v>
      </c>
    </row>
    <row r="13" spans="1:20" ht="14.25" x14ac:dyDescent="0.25">
      <c r="B13" s="36"/>
      <c r="C13" s="36" t="s">
        <v>113</v>
      </c>
      <c r="D13" s="37">
        <f>SUM(D7:D12)</f>
        <v>6000</v>
      </c>
      <c r="E13" s="37">
        <f>SUM(E7:E12)</f>
        <v>6000</v>
      </c>
      <c r="F13" s="37">
        <f>SUM(F7:F12)</f>
        <v>6000</v>
      </c>
      <c r="G13" s="37">
        <f>SUM(G7:G12)</f>
        <v>6000</v>
      </c>
      <c r="H13" s="37">
        <f>SUM(H7:H12)</f>
        <v>24000</v>
      </c>
      <c r="I13" s="38"/>
      <c r="J13" s="37">
        <f>SUM(J7:J12)</f>
        <v>6000</v>
      </c>
      <c r="K13" s="37">
        <f>SUM(K7:K12)</f>
        <v>6000</v>
      </c>
      <c r="L13" s="37">
        <f>SUM(L7:L12)</f>
        <v>6000</v>
      </c>
      <c r="M13" s="37">
        <f>SUM(M7:M12)</f>
        <v>6000</v>
      </c>
      <c r="N13" s="37">
        <f>SUM(N7:N12)</f>
        <v>24000</v>
      </c>
      <c r="O13" s="37"/>
      <c r="P13" s="37">
        <f>SUM(P7:P12)</f>
        <v>0</v>
      </c>
      <c r="Q13" s="37">
        <f>SUM(Q7:Q12)</f>
        <v>0</v>
      </c>
      <c r="R13" s="37">
        <f>SUM(R7:R12)</f>
        <v>0</v>
      </c>
      <c r="S13" s="37">
        <f>SUM(S7:S12)</f>
        <v>0</v>
      </c>
      <c r="T13" s="37">
        <f>SUM(T7:T12)</f>
        <v>0</v>
      </c>
    </row>
    <row r="14" spans="1:20" ht="10.15" customHeight="1" x14ac:dyDescent="0.25">
      <c r="B14" s="39"/>
      <c r="C14" s="39"/>
      <c r="D14" s="40"/>
      <c r="E14" s="40"/>
      <c r="F14" s="40"/>
      <c r="G14" s="40"/>
      <c r="H14" s="40"/>
      <c r="I14" s="41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 ht="14.25" x14ac:dyDescent="0.25">
      <c r="B15" s="16" t="s">
        <v>114</v>
      </c>
      <c r="C15" s="16" t="s">
        <v>107</v>
      </c>
      <c r="D15" s="31">
        <v>1000</v>
      </c>
      <c r="E15" s="31">
        <v>1000</v>
      </c>
      <c r="F15" s="31">
        <v>1000</v>
      </c>
      <c r="G15" s="31">
        <v>1000</v>
      </c>
      <c r="H15" s="31">
        <f t="shared" ref="H15:H20" si="3">SUM(D15:G15)</f>
        <v>4000</v>
      </c>
      <c r="I15" s="35"/>
      <c r="J15" s="31">
        <v>1000</v>
      </c>
      <c r="K15" s="31">
        <v>1000</v>
      </c>
      <c r="L15" s="31">
        <v>1000</v>
      </c>
      <c r="M15" s="31">
        <v>1000</v>
      </c>
      <c r="N15" s="31">
        <f t="shared" ref="N15:N20" si="4">SUM(J15:M15)</f>
        <v>4000</v>
      </c>
      <c r="O15" s="31"/>
      <c r="P15" s="31">
        <f t="shared" ref="P15:T20" si="5">D15-J15</f>
        <v>0</v>
      </c>
      <c r="Q15" s="31">
        <f t="shared" si="5"/>
        <v>0</v>
      </c>
      <c r="R15" s="31">
        <f t="shared" si="5"/>
        <v>0</v>
      </c>
      <c r="S15" s="31">
        <f t="shared" si="5"/>
        <v>0</v>
      </c>
      <c r="T15" s="31">
        <f t="shared" si="5"/>
        <v>0</v>
      </c>
    </row>
    <row r="16" spans="1:20" ht="14.25" x14ac:dyDescent="0.25">
      <c r="B16" s="16"/>
      <c r="C16" s="16" t="s">
        <v>108</v>
      </c>
      <c r="D16" s="31">
        <v>1000</v>
      </c>
      <c r="E16" s="31">
        <v>1000</v>
      </c>
      <c r="F16" s="31">
        <v>1000</v>
      </c>
      <c r="G16" s="31">
        <v>1000</v>
      </c>
      <c r="H16" s="31">
        <f t="shared" si="3"/>
        <v>4000</v>
      </c>
      <c r="I16" s="35"/>
      <c r="J16" s="31">
        <v>1000</v>
      </c>
      <c r="K16" s="31">
        <v>1000</v>
      </c>
      <c r="L16" s="31">
        <v>1000</v>
      </c>
      <c r="M16" s="31">
        <v>1000</v>
      </c>
      <c r="N16" s="31">
        <f t="shared" si="4"/>
        <v>4000</v>
      </c>
      <c r="O16" s="31"/>
      <c r="P16" s="31">
        <f t="shared" si="5"/>
        <v>0</v>
      </c>
      <c r="Q16" s="31">
        <f t="shared" si="5"/>
        <v>0</v>
      </c>
      <c r="R16" s="31">
        <f t="shared" si="5"/>
        <v>0</v>
      </c>
      <c r="S16" s="31">
        <f t="shared" si="5"/>
        <v>0</v>
      </c>
      <c r="T16" s="31">
        <f t="shared" si="5"/>
        <v>0</v>
      </c>
    </row>
    <row r="17" spans="2:20" ht="14.25" x14ac:dyDescent="0.25">
      <c r="B17" s="16"/>
      <c r="C17" s="16" t="s">
        <v>109</v>
      </c>
      <c r="D17" s="31">
        <v>1000</v>
      </c>
      <c r="E17" s="31">
        <v>1000</v>
      </c>
      <c r="F17" s="31">
        <v>1000</v>
      </c>
      <c r="G17" s="31">
        <v>1000</v>
      </c>
      <c r="H17" s="31">
        <f t="shared" si="3"/>
        <v>4000</v>
      </c>
      <c r="I17" s="35"/>
      <c r="J17" s="31">
        <v>1000</v>
      </c>
      <c r="K17" s="31">
        <v>1000</v>
      </c>
      <c r="L17" s="31">
        <v>1000</v>
      </c>
      <c r="M17" s="31">
        <v>1000</v>
      </c>
      <c r="N17" s="31">
        <f t="shared" si="4"/>
        <v>4000</v>
      </c>
      <c r="O17" s="31"/>
      <c r="P17" s="31">
        <f t="shared" si="5"/>
        <v>0</v>
      </c>
      <c r="Q17" s="31">
        <f t="shared" si="5"/>
        <v>0</v>
      </c>
      <c r="R17" s="31">
        <f t="shared" si="5"/>
        <v>0</v>
      </c>
      <c r="S17" s="31">
        <f t="shared" si="5"/>
        <v>0</v>
      </c>
      <c r="T17" s="31">
        <f t="shared" si="5"/>
        <v>0</v>
      </c>
    </row>
    <row r="18" spans="2:20" ht="14.25" x14ac:dyDescent="0.25">
      <c r="B18" s="16"/>
      <c r="C18" s="16" t="s">
        <v>110</v>
      </c>
      <c r="D18" s="31">
        <v>1000</v>
      </c>
      <c r="E18" s="31">
        <v>1000</v>
      </c>
      <c r="F18" s="31">
        <v>1000</v>
      </c>
      <c r="G18" s="31">
        <v>1000</v>
      </c>
      <c r="H18" s="31">
        <f t="shared" si="3"/>
        <v>4000</v>
      </c>
      <c r="I18" s="35"/>
      <c r="J18" s="31">
        <v>1000</v>
      </c>
      <c r="K18" s="31">
        <v>1000</v>
      </c>
      <c r="L18" s="31">
        <v>1000</v>
      </c>
      <c r="M18" s="31">
        <v>1000</v>
      </c>
      <c r="N18" s="31">
        <f t="shared" si="4"/>
        <v>4000</v>
      </c>
      <c r="O18" s="31"/>
      <c r="P18" s="31">
        <f t="shared" si="5"/>
        <v>0</v>
      </c>
      <c r="Q18" s="31">
        <f t="shared" si="5"/>
        <v>0</v>
      </c>
      <c r="R18" s="31">
        <f t="shared" si="5"/>
        <v>0</v>
      </c>
      <c r="S18" s="31">
        <f t="shared" si="5"/>
        <v>0</v>
      </c>
      <c r="T18" s="31">
        <f t="shared" si="5"/>
        <v>0</v>
      </c>
    </row>
    <row r="19" spans="2:20" ht="14.25" x14ac:dyDescent="0.25">
      <c r="B19" s="16"/>
      <c r="C19" s="16" t="s">
        <v>111</v>
      </c>
      <c r="D19" s="31">
        <v>1000</v>
      </c>
      <c r="E19" s="31">
        <v>1000</v>
      </c>
      <c r="F19" s="31">
        <v>1000</v>
      </c>
      <c r="G19" s="31">
        <v>1000</v>
      </c>
      <c r="H19" s="31">
        <f t="shared" si="3"/>
        <v>4000</v>
      </c>
      <c r="I19" s="35"/>
      <c r="J19" s="31">
        <v>1000</v>
      </c>
      <c r="K19" s="31">
        <v>1000</v>
      </c>
      <c r="L19" s="31">
        <v>1000</v>
      </c>
      <c r="M19" s="31">
        <v>1000</v>
      </c>
      <c r="N19" s="31">
        <f t="shared" si="4"/>
        <v>4000</v>
      </c>
      <c r="O19" s="31"/>
      <c r="P19" s="31">
        <f t="shared" si="5"/>
        <v>0</v>
      </c>
      <c r="Q19" s="31">
        <f t="shared" si="5"/>
        <v>0</v>
      </c>
      <c r="R19" s="31">
        <f t="shared" si="5"/>
        <v>0</v>
      </c>
      <c r="S19" s="31">
        <f t="shared" si="5"/>
        <v>0</v>
      </c>
      <c r="T19" s="31">
        <f t="shared" si="5"/>
        <v>0</v>
      </c>
    </row>
    <row r="20" spans="2:20" ht="14.25" x14ac:dyDescent="0.25">
      <c r="B20" s="16"/>
      <c r="C20" s="16" t="s">
        <v>112</v>
      </c>
      <c r="D20" s="31">
        <v>1000</v>
      </c>
      <c r="E20" s="31">
        <v>1000</v>
      </c>
      <c r="F20" s="31">
        <v>1000</v>
      </c>
      <c r="G20" s="31">
        <v>1000</v>
      </c>
      <c r="H20" s="31">
        <f t="shared" si="3"/>
        <v>4000</v>
      </c>
      <c r="I20" s="35"/>
      <c r="J20" s="31">
        <v>1000</v>
      </c>
      <c r="K20" s="31">
        <v>1000</v>
      </c>
      <c r="L20" s="31">
        <v>1000</v>
      </c>
      <c r="M20" s="31">
        <v>1000</v>
      </c>
      <c r="N20" s="31">
        <f t="shared" si="4"/>
        <v>4000</v>
      </c>
      <c r="O20" s="31"/>
      <c r="P20" s="31">
        <f t="shared" si="5"/>
        <v>0</v>
      </c>
      <c r="Q20" s="31">
        <f t="shared" si="5"/>
        <v>0</v>
      </c>
      <c r="R20" s="31">
        <f t="shared" si="5"/>
        <v>0</v>
      </c>
      <c r="S20" s="31">
        <f t="shared" si="5"/>
        <v>0</v>
      </c>
      <c r="T20" s="31">
        <f t="shared" si="5"/>
        <v>0</v>
      </c>
    </row>
    <row r="21" spans="2:20" ht="14.25" x14ac:dyDescent="0.25">
      <c r="B21" s="36"/>
      <c r="C21" s="36" t="s">
        <v>115</v>
      </c>
      <c r="D21" s="37">
        <f>SUM(D15:D20)</f>
        <v>6000</v>
      </c>
      <c r="E21" s="37">
        <f>SUM(E15:E20)</f>
        <v>6000</v>
      </c>
      <c r="F21" s="37">
        <f>SUM(F15:F20)</f>
        <v>6000</v>
      </c>
      <c r="G21" s="37">
        <f>SUM(G15:G20)</f>
        <v>6000</v>
      </c>
      <c r="H21" s="37">
        <f>SUM(H15:H20)</f>
        <v>24000</v>
      </c>
      <c r="I21" s="38"/>
      <c r="J21" s="37">
        <f>SUM(J15:J20)</f>
        <v>6000</v>
      </c>
      <c r="K21" s="37">
        <f>SUM(K15:K20)</f>
        <v>6000</v>
      </c>
      <c r="L21" s="37">
        <f>SUM(L15:L20)</f>
        <v>6000</v>
      </c>
      <c r="M21" s="37">
        <f>SUM(M15:M20)</f>
        <v>6000</v>
      </c>
      <c r="N21" s="37">
        <f>SUM(N15:N20)</f>
        <v>24000</v>
      </c>
      <c r="O21" s="37"/>
      <c r="P21" s="37">
        <f>SUM(P15:P20)</f>
        <v>0</v>
      </c>
      <c r="Q21" s="37">
        <f>SUM(Q15:Q20)</f>
        <v>0</v>
      </c>
      <c r="R21" s="37">
        <f>SUM(R15:R20)</f>
        <v>0</v>
      </c>
      <c r="S21" s="37">
        <f>SUM(S15:S20)</f>
        <v>0</v>
      </c>
      <c r="T21" s="37">
        <f>SUM(T15:T20)</f>
        <v>0</v>
      </c>
    </row>
    <row r="22" spans="2:20" ht="10.15" customHeight="1" x14ac:dyDescent="0.25">
      <c r="B22" s="39"/>
      <c r="C22" s="39"/>
      <c r="D22" s="40"/>
      <c r="E22" s="40"/>
      <c r="F22" s="40"/>
      <c r="G22" s="40"/>
      <c r="H22" s="40"/>
      <c r="I22" s="41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2:20" ht="14.25" x14ac:dyDescent="0.25">
      <c r="B23" s="16" t="s">
        <v>123</v>
      </c>
      <c r="C23" s="16" t="s">
        <v>107</v>
      </c>
      <c r="D23" s="31">
        <v>1000</v>
      </c>
      <c r="E23" s="31">
        <v>1000</v>
      </c>
      <c r="F23" s="31">
        <v>1000</v>
      </c>
      <c r="G23" s="31">
        <v>1000</v>
      </c>
      <c r="H23" s="31">
        <f t="shared" ref="H23:H28" si="6">SUM(D23:G23)</f>
        <v>4000</v>
      </c>
      <c r="I23" s="31"/>
      <c r="J23" s="31">
        <v>1000</v>
      </c>
      <c r="K23" s="31">
        <v>1000</v>
      </c>
      <c r="L23" s="31">
        <v>1000</v>
      </c>
      <c r="M23" s="31">
        <v>1000</v>
      </c>
      <c r="N23" s="31">
        <f t="shared" ref="N23:N28" si="7">SUM(J23:M23)</f>
        <v>4000</v>
      </c>
      <c r="O23" s="31"/>
      <c r="P23" s="31">
        <f t="shared" ref="P23:T28" si="8">D23-J23</f>
        <v>0</v>
      </c>
      <c r="Q23" s="31">
        <f t="shared" si="8"/>
        <v>0</v>
      </c>
      <c r="R23" s="31">
        <f t="shared" si="8"/>
        <v>0</v>
      </c>
      <c r="S23" s="31">
        <f t="shared" si="8"/>
        <v>0</v>
      </c>
      <c r="T23" s="31">
        <f t="shared" si="8"/>
        <v>0</v>
      </c>
    </row>
    <row r="24" spans="2:20" ht="14.25" x14ac:dyDescent="0.25">
      <c r="B24" s="16"/>
      <c r="C24" s="16" t="s">
        <v>108</v>
      </c>
      <c r="D24" s="31">
        <v>1000</v>
      </c>
      <c r="E24" s="31">
        <v>1000</v>
      </c>
      <c r="F24" s="31">
        <v>1000</v>
      </c>
      <c r="G24" s="31">
        <v>1000</v>
      </c>
      <c r="H24" s="31">
        <f t="shared" si="6"/>
        <v>4000</v>
      </c>
      <c r="I24" s="31"/>
      <c r="J24" s="31">
        <v>1000</v>
      </c>
      <c r="K24" s="31">
        <v>1000</v>
      </c>
      <c r="L24" s="31">
        <v>1000</v>
      </c>
      <c r="M24" s="31">
        <v>1000</v>
      </c>
      <c r="N24" s="31">
        <f t="shared" si="7"/>
        <v>4000</v>
      </c>
      <c r="O24" s="31"/>
      <c r="P24" s="31">
        <f t="shared" si="8"/>
        <v>0</v>
      </c>
      <c r="Q24" s="31">
        <f t="shared" si="8"/>
        <v>0</v>
      </c>
      <c r="R24" s="31">
        <f t="shared" si="8"/>
        <v>0</v>
      </c>
      <c r="S24" s="31">
        <f t="shared" si="8"/>
        <v>0</v>
      </c>
      <c r="T24" s="31">
        <f t="shared" si="8"/>
        <v>0</v>
      </c>
    </row>
    <row r="25" spans="2:20" ht="14.25" x14ac:dyDescent="0.25">
      <c r="B25" s="16"/>
      <c r="C25" s="16" t="s">
        <v>109</v>
      </c>
      <c r="D25" s="31">
        <v>1000</v>
      </c>
      <c r="E25" s="31">
        <v>1000</v>
      </c>
      <c r="F25" s="31">
        <v>1000</v>
      </c>
      <c r="G25" s="31">
        <v>1000</v>
      </c>
      <c r="H25" s="31">
        <f t="shared" si="6"/>
        <v>4000</v>
      </c>
      <c r="I25" s="31"/>
      <c r="J25" s="31">
        <v>1000</v>
      </c>
      <c r="K25" s="31">
        <v>1000</v>
      </c>
      <c r="L25" s="31">
        <v>1000</v>
      </c>
      <c r="M25" s="31">
        <v>1000</v>
      </c>
      <c r="N25" s="31">
        <f t="shared" si="7"/>
        <v>4000</v>
      </c>
      <c r="O25" s="31"/>
      <c r="P25" s="31">
        <f t="shared" si="8"/>
        <v>0</v>
      </c>
      <c r="Q25" s="31">
        <f t="shared" si="8"/>
        <v>0</v>
      </c>
      <c r="R25" s="31">
        <f t="shared" si="8"/>
        <v>0</v>
      </c>
      <c r="S25" s="31">
        <f t="shared" si="8"/>
        <v>0</v>
      </c>
      <c r="T25" s="31">
        <f t="shared" si="8"/>
        <v>0</v>
      </c>
    </row>
    <row r="26" spans="2:20" ht="14.25" x14ac:dyDescent="0.25">
      <c r="B26" s="16"/>
      <c r="C26" s="16" t="s">
        <v>110</v>
      </c>
      <c r="D26" s="31">
        <v>1000</v>
      </c>
      <c r="E26" s="31">
        <v>1000</v>
      </c>
      <c r="F26" s="31">
        <v>1000</v>
      </c>
      <c r="G26" s="31">
        <v>1000</v>
      </c>
      <c r="H26" s="31">
        <f t="shared" si="6"/>
        <v>4000</v>
      </c>
      <c r="I26" s="31"/>
      <c r="J26" s="31">
        <v>1000</v>
      </c>
      <c r="K26" s="31">
        <v>1000</v>
      </c>
      <c r="L26" s="31">
        <v>1000</v>
      </c>
      <c r="M26" s="31">
        <v>1000</v>
      </c>
      <c r="N26" s="31">
        <f t="shared" si="7"/>
        <v>4000</v>
      </c>
      <c r="O26" s="31"/>
      <c r="P26" s="31">
        <f t="shared" si="8"/>
        <v>0</v>
      </c>
      <c r="Q26" s="31">
        <f t="shared" si="8"/>
        <v>0</v>
      </c>
      <c r="R26" s="31">
        <f t="shared" si="8"/>
        <v>0</v>
      </c>
      <c r="S26" s="31">
        <f t="shared" si="8"/>
        <v>0</v>
      </c>
      <c r="T26" s="31">
        <f t="shared" si="8"/>
        <v>0</v>
      </c>
    </row>
    <row r="27" spans="2:20" ht="14.25" x14ac:dyDescent="0.25">
      <c r="B27" s="16"/>
      <c r="C27" s="16" t="s">
        <v>111</v>
      </c>
      <c r="D27" s="31">
        <v>1000</v>
      </c>
      <c r="E27" s="31">
        <v>1000</v>
      </c>
      <c r="F27" s="31">
        <v>1000</v>
      </c>
      <c r="G27" s="31">
        <v>1000</v>
      </c>
      <c r="H27" s="31">
        <f t="shared" si="6"/>
        <v>4000</v>
      </c>
      <c r="I27" s="31"/>
      <c r="J27" s="31">
        <v>1000</v>
      </c>
      <c r="K27" s="31">
        <v>1000</v>
      </c>
      <c r="L27" s="31">
        <v>1000</v>
      </c>
      <c r="M27" s="31">
        <v>1000</v>
      </c>
      <c r="N27" s="31">
        <f t="shared" si="7"/>
        <v>4000</v>
      </c>
      <c r="O27" s="31"/>
      <c r="P27" s="31">
        <f t="shared" si="8"/>
        <v>0</v>
      </c>
      <c r="Q27" s="31">
        <f t="shared" si="8"/>
        <v>0</v>
      </c>
      <c r="R27" s="31">
        <f t="shared" si="8"/>
        <v>0</v>
      </c>
      <c r="S27" s="31">
        <f t="shared" si="8"/>
        <v>0</v>
      </c>
      <c r="T27" s="31">
        <f t="shared" si="8"/>
        <v>0</v>
      </c>
    </row>
    <row r="28" spans="2:20" ht="14.25" x14ac:dyDescent="0.25">
      <c r="B28" s="16"/>
      <c r="C28" s="16" t="s">
        <v>112</v>
      </c>
      <c r="D28" s="31">
        <v>1000</v>
      </c>
      <c r="E28" s="31">
        <v>1000</v>
      </c>
      <c r="F28" s="31">
        <v>1000</v>
      </c>
      <c r="G28" s="31">
        <v>1000</v>
      </c>
      <c r="H28" s="31">
        <f t="shared" si="6"/>
        <v>4000</v>
      </c>
      <c r="I28" s="31"/>
      <c r="J28" s="31">
        <v>1000</v>
      </c>
      <c r="K28" s="31">
        <v>1000</v>
      </c>
      <c r="L28" s="31">
        <v>1000</v>
      </c>
      <c r="M28" s="31">
        <v>1000</v>
      </c>
      <c r="N28" s="31">
        <f t="shared" si="7"/>
        <v>4000</v>
      </c>
      <c r="O28" s="31"/>
      <c r="P28" s="31">
        <f t="shared" si="8"/>
        <v>0</v>
      </c>
      <c r="Q28" s="31">
        <f t="shared" si="8"/>
        <v>0</v>
      </c>
      <c r="R28" s="31">
        <f t="shared" si="8"/>
        <v>0</v>
      </c>
      <c r="S28" s="31">
        <f t="shared" si="8"/>
        <v>0</v>
      </c>
      <c r="T28" s="31">
        <f t="shared" si="8"/>
        <v>0</v>
      </c>
    </row>
    <row r="29" spans="2:20" ht="14.25" x14ac:dyDescent="0.25">
      <c r="B29" s="16"/>
      <c r="C29" s="36" t="s">
        <v>124</v>
      </c>
      <c r="D29" s="37">
        <f>SUM(D23:D28)</f>
        <v>6000</v>
      </c>
      <c r="E29" s="37">
        <f>SUM(E23:E28)</f>
        <v>6000</v>
      </c>
      <c r="F29" s="37">
        <f>SUM(F23:F28)</f>
        <v>6000</v>
      </c>
      <c r="G29" s="37">
        <f>SUM(G23:G28)</f>
        <v>6000</v>
      </c>
      <c r="H29" s="37">
        <f>SUM(H23:H28)</f>
        <v>24000</v>
      </c>
      <c r="I29" s="37"/>
      <c r="J29" s="37">
        <f>SUM(J23:J28)</f>
        <v>6000</v>
      </c>
      <c r="K29" s="37">
        <f>SUM(K23:K28)</f>
        <v>6000</v>
      </c>
      <c r="L29" s="37">
        <f>SUM(L23:L28)</f>
        <v>6000</v>
      </c>
      <c r="M29" s="37">
        <f>SUM(M23:M28)</f>
        <v>6000</v>
      </c>
      <c r="N29" s="37">
        <f>SUM(N23:N28)</f>
        <v>24000</v>
      </c>
      <c r="O29" s="37"/>
      <c r="P29" s="37">
        <f>SUM(P23:P28)</f>
        <v>0</v>
      </c>
      <c r="Q29" s="37">
        <f>SUM(Q23:Q28)</f>
        <v>0</v>
      </c>
      <c r="R29" s="37">
        <f>SUM(R23:R28)</f>
        <v>0</v>
      </c>
      <c r="S29" s="37">
        <f>SUM(S23:S28)</f>
        <v>0</v>
      </c>
      <c r="T29" s="37">
        <f>SUM(T23:T28)</f>
        <v>0</v>
      </c>
    </row>
    <row r="30" spans="2:20" ht="10.15" customHeight="1" x14ac:dyDescent="0.25">
      <c r="B30" s="39"/>
      <c r="C30" s="39"/>
      <c r="D30" s="40"/>
      <c r="E30" s="40"/>
      <c r="F30" s="40"/>
      <c r="G30" s="40"/>
      <c r="H30" s="40"/>
      <c r="I30" s="41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</row>
    <row r="31" spans="2:20" ht="14.25" x14ac:dyDescent="0.25">
      <c r="B31" s="36"/>
      <c r="C31" s="36" t="s">
        <v>116</v>
      </c>
      <c r="D31" s="37">
        <f>D13+D21+D29</f>
        <v>18000</v>
      </c>
      <c r="E31" s="37">
        <f>E13+E21+E29</f>
        <v>18000</v>
      </c>
      <c r="F31" s="37">
        <f>F13+F21+F29</f>
        <v>18000</v>
      </c>
      <c r="G31" s="37">
        <f>G13+G21+G29</f>
        <v>18000</v>
      </c>
      <c r="H31" s="37">
        <f>H13+H21+H29</f>
        <v>72000</v>
      </c>
      <c r="I31" s="37"/>
      <c r="J31" s="37">
        <f>J13+J21+J29</f>
        <v>18000</v>
      </c>
      <c r="K31" s="37">
        <f>K13+K21+K29</f>
        <v>18000</v>
      </c>
      <c r="L31" s="37">
        <f>L13+L21+L29</f>
        <v>18000</v>
      </c>
      <c r="M31" s="37">
        <f>M13+M21+M29</f>
        <v>18000</v>
      </c>
      <c r="N31" s="37">
        <f>N13+N21+N29</f>
        <v>72000</v>
      </c>
      <c r="O31" s="37"/>
      <c r="P31" s="37">
        <f>P13+P21+P29</f>
        <v>0</v>
      </c>
      <c r="Q31" s="37">
        <f>Q13+Q21+Q29</f>
        <v>0</v>
      </c>
      <c r="R31" s="37">
        <f>R13+R21+R29</f>
        <v>0</v>
      </c>
      <c r="S31" s="37">
        <f>S13+S21+S29</f>
        <v>0</v>
      </c>
      <c r="T31" s="37">
        <f>T13+T21+T29</f>
        <v>0</v>
      </c>
    </row>
    <row r="32" spans="2:20" ht="11.1" customHeight="1" x14ac:dyDescent="0.25"/>
    <row r="33" spans="2:2" ht="14.25" x14ac:dyDescent="0.25">
      <c r="B33" s="43" t="s">
        <v>119</v>
      </c>
    </row>
    <row r="35" spans="2:2" ht="14.25" x14ac:dyDescent="0.25">
      <c r="B35" s="42"/>
    </row>
  </sheetData>
  <mergeCells count="4">
    <mergeCell ref="D4:H4"/>
    <mergeCell ref="J4:N4"/>
    <mergeCell ref="P4:T4"/>
    <mergeCell ref="A1:E1"/>
  </mergeCells>
  <pageMargins left="0.7" right="0.7" top="0.75" bottom="0.75" header="0.3" footer="0.3"/>
  <customProperties>
    <customPr name="TGK_SHEET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2.0.0-SNAPSHOT"/>
  <data>
    <be refId="0" clsId="MultiTemplateReportVO">
      <s key="code">K001</s>
      <a key="desc" refId="1" ln="4" eid="SYS_STR">
        <s>Snapshot Comparison Report Package</s>
        <s>Snapshot Comparison Report Package</s>
        <nl/>
        <s>Snapshot Comparison Report Package</s>
      </a>
      <d key="dateStyleApplied">1451927922860</d>
      <be key="options" refId="2" clsId="OpzioniProspetto">
        <b key="lockSheets">N</b>
        <s key="separator"> - 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S</b>
        <b key="forceExportReport">N</b>
        <i key="colorEditRGB">13434879</i>
        <i key="colorProtectedRGB">16777164</i>
        <i key="colorIRGB">13434828</i>
        <i key="colorEditTransactionCurencyRGB">13434879</i>
        <e key="parallelDegree" refId="3" id="ParallelDegreeEnum">D</e>
        <e key="parallelizeWhat" refId="4" id="ParallWhatEnum">MQ</e>
        <s key="styleSheetCode">TGK_01</s>
        <b key="sheetNamesWithCode">N</b>
        <b key="eventsWithUnlockedSheets">N</b>
        <e key="includeTemplateInSheetName" refId="5" id="IncludeTemplateInSheetNameEnum">0</e>
        <b key="enableDrillDown">S</b>
        <u key="expControlloThreshold">1E-09</u>
        <b key="disableTGKFunctions">N</b>
        <e key="validateTransactional" refId="6" id="ValidateTransactionalEnum">C</e>
        <e key="headManipPosition" refId="7" id="HeaderManipulatorPositionEnum">A</e>
        <e key="repEngine" refId="8" id="RepEngineEnum">CFG</e>
        <i key="grainSize">1000</i>
        <i key="dataLoadPSize">4</i>
        <i key="dataProcPSize">6</i>
      </be>
      <m key="templates" refId="9" keid="SYS_STR" veid="Reporting.com.tagetik.report.IReportTemplateVO,Reporting">
        <key>
          <s>Template03</s>
        </key>
        <val>
          <be refId="10" clsId="ReportTemplateVO">
            <s key="code">Template03</s>
            <s key="desc">Comp. Analysis</s>
            <m key="matrices" refId="11" keid="SYS_STR" veid="Reporting.com.tagetik.tables.IMatrixPositionBlockVO,Reporting">
              <key>
                <s>Comp. Analysis by Quarter</s>
              </key>
              <val>
                <be refId="12" clsId="MatrixPositionBlockVO">
                  <s key="positionID">Comp. Analysis by Quarter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Rows</s>
                    <i key="index">0</i>
                    <l key="children" refId="24" ln="6" eid="Framework.com.tagetik.trees.INode,framework">
                      <be refId="25" clsId="FilterNode">
                        <l key="dimensionOids" refId="26" ln="1" eid="DimensionOid">
                          <cust clsId="DimensionOid">44455354335F3036-4E-3031---</cust>
                        </l>
                        <l key="AdHocParamDimensionOids" refId="27" ln="0" eid="DimensionOid"/>
                        <be key="data" refId="28" clsId="FilterNodeData">
                          <ref key="filterNode" refId="25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30" ln="7" eid="Framework.com.tagetik.trees.INode,framework">
                          <be refId="31" clsId="FilterNode">
                            <l key="dimensionOids" refId="32" ln="1" eid="DimensionOid">
                              <cust clsId="DimensionOid">44455354315F3031-4E-583031---</cust>
                            </l>
                            <l key="AdHocParamDimensionOids" refId="33" ln="0" eid="DimensionOid"/>
                            <be key="data" refId="34" clsId="FilterNodeData">
                              <ref key="filterNode" refId="3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25"/>
                          </be>
                          <be refId="36" clsId="FilterNode">
                            <l key="dimensionOids" refId="37" ln="1" eid="DimensionOid">
                              <cust clsId="DimensionOid">44455354315F3031-4E-583032---</cust>
                            </l>
                            <l key="AdHocParamDimensionOids" refId="38" ln="0" eid="DimensionOid"/>
                            <be key="data" refId="39" clsId="FilterNodeData">
                              <ref key="filterNode" refId="3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i key="index">0</i>
                            <ref key="parent" refId="25"/>
                          </be>
                          <be refId="41" clsId="FilterNode">
                            <l key="dimensionOids" refId="42" ln="1" eid="DimensionOid">
                              <cust clsId="DimensionOid">44455354315F3031-4E-583033---</cust>
                            </l>
                            <l key="AdHocParamDimensionOids" refId="43" ln="0" eid="DimensionOid"/>
                            <be key="data" refId="44" clsId="FilterNodeData">
                              <ref key="filterNode" refId="4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i key="index">0</i>
                            <ref key="parent" refId="25"/>
                          </be>
                          <be refId="46" clsId="FilterNode">
                            <l key="dimensionOids" refId="47" ln="1" eid="DimensionOid">
                              <cust clsId="DimensionOid">44455354315F3031-4E-583034---</cust>
                            </l>
                            <l key="AdHocParamDimensionOids" refId="48" ln="0" eid="DimensionOid"/>
                            <be key="data" refId="49" clsId="FilterNodeData">
                              <ref key="filterNode" refId="4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7</cust>
                            <i key="index">0</i>
                            <ref key="parent" refId="25"/>
                          </be>
                          <be refId="51" clsId="FilterNode">
                            <l key="dimensionOids" refId="52" ln="1" eid="DimensionOid">
                              <cust clsId="DimensionOid">44455354315F3031-4E-583035---</cust>
                            </l>
                            <l key="AdHocParamDimensionOids" refId="53" ln="0" eid="DimensionOid"/>
                            <be key="data" refId="54" clsId="FilterNodeData">
                              <ref key="filterNode" refId="5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i key="index">0</i>
                            <ref key="parent" refId="25"/>
                          </be>
                          <be refId="56" clsId="FilterNode">
                            <l key="dimensionOids" refId="57" ln="1" eid="DimensionOid">
                              <cust clsId="DimensionOid">44455354315F3031-4E-583036---</cust>
                            </l>
                            <l key="AdHocParamDimensionOids" refId="58" ln="0" eid="DimensionOid"/>
                            <be key="data" refId="59" clsId="FilterNodeData">
                              <ref key="filterNode" refId="5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i key="index">0</i>
                            <ref key="parent" refId="25"/>
                          </be>
                          <be refId="61" clsId="FilterNode">
                            <l key="dimensionOids" refId="62" ln="0" eid="DimensionOid"/>
                            <l key="AdHocParamDimensionOids" refId="63" ln="0" eid="DimensionOid"/>
                            <be key="data" refId="64" clsId="FilterNodeData">
                              <ref key="filterNode" refId="61"/>
                              <s key="dim">DEST1_01</s>
                              <i key="segmentLevel">0</i>
                              <ref key="segment" refId="17"/>
                              <be key="reportingFormula" refId="65" clsId="ReportingFormula">
                                <b key="serverFormula">N</b>
                                <b key="formulaRule">N</b>
                                <s key="formula">sum({4}:{9})</s>
                              </be>
                              <be key="dictionaryHeader" refId="66" clsId="MultiDesc">
                                <a key="desc" refId="67" ln="4" eid="SYS_STR">
                                  <s>Total Existing</s>
                                  <s>Total Existing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6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16</cust>
                            <s key="cod">PH</s>
                            <s key="desc"/>
                            <i key="index">0</i>
                            <ref key="parent" refId="25"/>
                          </be>
                        </l>
                        <ref key="parent" refId="13"/>
                      </be>
                      <be refId="69" clsId="FilterNode">
                        <l key="dimensionOids" refId="70" ln="0" eid="DimensionOid"/>
                        <l key="AdHocParamDimensionOids" refId="71" ln="0" eid="DimensionOid"/>
                        <be key="data" refId="72" clsId="FilterNodeData">
                          <ref key="filterNode" refId="69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s key="cod">PH</s>
                        <s key="desc"/>
                        <i key="index">0</i>
                        <l key="children" refId="74" ln="1" eid="Framework.com.tagetik.trees.INode,framework">
                          <be refId="75" clsId="FilterNode">
                            <l key="dimensionOids" refId="76" ln="0" eid="DimensionOid"/>
                            <l key="AdHocParamDimensionOids" refId="77" ln="0" eid="DimensionOid"/>
                            <be key="data" refId="78" clsId="FilterNodeData">
                              <ref key="filterNode" refId="75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7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</cust>
                            <s key="cod">PH</s>
                            <s key="desc"/>
                            <i key="index">0</i>
                            <ref key="parent" refId="69"/>
                          </be>
                        </l>
                        <ref key="parent" refId="13"/>
                      </be>
                      <be refId="80" clsId="FilterNode">
                        <l key="dimensionOids" refId="81" ln="1" eid="DimensionOid">
                          <cust clsId="DimensionOid">44455354335F3036-4E-3032---</cust>
                        </l>
                        <l key="AdHocParamDimensionOids" refId="82" ln="0" eid="DimensionOid"/>
                        <be key="data" refId="83" clsId="FilterNodeData">
                          <ref key="filterNode" refId="80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l key="children" refId="85" ln="7" eid="Framework.com.tagetik.trees.INode,framework">
                          <be refId="86" clsId="FilterNode">
                            <l key="dimensionOids" refId="87" ln="1" eid="DimensionOid">
                              <cust clsId="DimensionOid">44455354315F3031-4E-583031---</cust>
                            </l>
                            <l key="AdHocParamDimensionOids" refId="88" ln="0" eid="DimensionOid"/>
                            <be key="data" refId="89" clsId="FilterNodeData">
                              <ref key="filterNode" refId="8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i key="index">0</i>
                            <ref key="parent" refId="80"/>
                          </be>
                          <be refId="91" clsId="FilterNode">
                            <l key="dimensionOids" refId="92" ln="1" eid="DimensionOid">
                              <cust clsId="DimensionOid">44455354315F3031-4E-583032---</cust>
                            </l>
                            <l key="AdHocParamDimensionOids" refId="93" ln="0" eid="DimensionOid"/>
                            <be key="data" refId="94" clsId="FilterNodeData">
                              <ref key="filterNode" refId="9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i key="index">0</i>
                            <ref key="parent" refId="80"/>
                          </be>
                          <be refId="96" clsId="FilterNode">
                            <l key="dimensionOids" refId="97" ln="1" eid="DimensionOid">
                              <cust clsId="DimensionOid">44455354315F3031-4E-583033---</cust>
                            </l>
                            <l key="AdHocParamDimensionOids" refId="98" ln="0" eid="DimensionOid"/>
                            <be key="data" refId="99" clsId="FilterNodeData">
                              <ref key="filterNode" refId="9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i key="index">0</i>
                            <ref key="parent" refId="80"/>
                          </be>
                          <be refId="101" clsId="FilterNode">
                            <l key="dimensionOids" refId="102" ln="1" eid="DimensionOid">
                              <cust clsId="DimensionOid">44455354315F3031-4E-583034---</cust>
                            </l>
                            <l key="AdHocParamDimensionOids" refId="103" ln="0" eid="DimensionOid"/>
                            <be key="data" refId="104" clsId="FilterNodeData">
                              <ref key="filterNode" refId="10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i key="index">0</i>
                            <ref key="parent" refId="80"/>
                          </be>
                          <be refId="106" clsId="FilterNode">
                            <l key="dimensionOids" refId="107" ln="1" eid="DimensionOid">
                              <cust clsId="DimensionOid">44455354315F3031-4E-583035---</cust>
                            </l>
                            <l key="AdHocParamDimensionOids" refId="108" ln="0" eid="DimensionOid"/>
                            <be key="data" refId="109" clsId="FilterNodeData">
                              <ref key="filterNode" refId="10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i key="index">0</i>
                            <ref key="parent" refId="80"/>
                          </be>
                          <be refId="111" clsId="FilterNode">
                            <l key="dimensionOids" refId="112" ln="1" eid="DimensionOid">
                              <cust clsId="DimensionOid">44455354315F3031-4E-583036---</cust>
                            </l>
                            <l key="AdHocParamDimensionOids" refId="113" ln="0" eid="DimensionOid"/>
                            <be key="data" refId="114" clsId="FilterNodeData">
                              <ref key="filterNode" refId="11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i key="index">0</i>
                            <ref key="parent" refId="80"/>
                          </be>
                          <be refId="116" clsId="FilterNode">
                            <l key="dimensionOids" refId="117" ln="0" eid="DimensionOid"/>
                            <l key="AdHocParamDimensionOids" refId="118" ln="0" eid="DimensionOid"/>
                            <be key="data" refId="119" clsId="FilterNodeData">
                              <ref key="filterNode" refId="116"/>
                              <s key="dim">DEST1_01</s>
                              <i key="segmentLevel">0</i>
                              <ref key="segment" refId="17"/>
                              <be key="reportingFormula" refId="120" clsId="ReportingFormula">
                                <b key="serverFormula">N</b>
                                <b key="formulaRule">N</b>
                                <s key="formula">sum({10}:{15})</s>
                              </be>
                              <be key="dictionaryHeader" refId="121" clsId="MultiDesc">
                                <a key="desc" refId="122" ln="4" eid="SYS_STR">
                                  <s>Total New Hires</s>
                                  <s>Total New Hires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</cust>
                            <s key="cod">PH</s>
                            <s key="desc"/>
                            <i key="index">0</i>
                            <ref key="parent" refId="80"/>
                          </be>
                        </l>
                        <ref key="parent" refId="13"/>
                      </be>
                      <be refId="124" clsId="FilterNode">
                        <l key="dimensionOids" refId="125" ln="0" eid="DimensionOid"/>
                        <l key="AdHocParamDimensionOids" refId="126" ln="0" eid="DimensionOid"/>
                        <be key="data" refId="127" clsId="FilterNodeData">
                          <ref key="filterNode" refId="124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>PH</s>
                        <s key="desc"/>
                        <i key="index">0</i>
                        <l key="children" refId="129" ln="1" eid="Framework.com.tagetik.trees.INode,framework">
                          <be refId="130" clsId="FilterNode">
                            <l key="dimensionOids" refId="131" ln="0" eid="DimensionOid"/>
                            <l key="AdHocParamDimensionOids" refId="132" ln="0" eid="DimensionOid"/>
                            <be key="data" refId="133" clsId="FilterNodeData">
                              <ref key="filterNode" refId="130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13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</cust>
                            <s key="cod">PH</s>
                            <s key="desc"/>
                            <i key="index">0</i>
                            <ref key="parent" refId="124"/>
                          </be>
                        </l>
                        <ref key="parent" refId="13"/>
                      </be>
                      <be refId="135" clsId="FilterNode">
                        <l key="dimensionOids" refId="136" ln="1" eid="DimensionOid">
                          <cust clsId="DimensionOid">44455354335F3036-4E-3033---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24</cust>
                        <i key="index">0</i>
                        <l key="children" refId="140" ln="7" eid="Framework.com.tagetik.trees.INode,framework">
                          <be refId="141" clsId="FilterNode">
                            <l key="dimensionOids" refId="142" ln="1" eid="DimensionOid">
                              <cust clsId="DimensionOid">44455354315F3031-4E-583031---</cust>
                            </l>
                            <l key="AdHocParamDimensionOids" refId="143" ln="0" eid="DimensionOid"/>
                            <be key="data" refId="144" clsId="FilterNodeData">
                              <ref key="filterNode" refId="14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25</cust>
                            <i key="index">0</i>
                            <ref key="parent" refId="135"/>
                          </be>
                          <be refId="146" clsId="FilterNode">
                            <l key="dimensionOids" refId="147" ln="1" eid="DimensionOid">
                              <cust clsId="DimensionOid">44455354315F3031-4E-583032---</cust>
                            </l>
                            <l key="AdHocParamDimensionOids" refId="148" ln="0" eid="DimensionOid"/>
                            <be key="data" refId="149" clsId="FilterNodeData">
                              <ref key="filterNode" refId="14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26</cust>
                            <i key="index">0</i>
                            <ref key="parent" refId="135"/>
                          </be>
                          <be refId="151" clsId="FilterNode">
                            <l key="dimensionOids" refId="152" ln="1" eid="DimensionOid">
                              <cust clsId="DimensionOid">44455354315F3031-4E-583033---</cust>
                            </l>
                            <l key="AdHocParamDimensionOids" refId="153" ln="0" eid="DimensionOid"/>
                            <be key="data" refId="154" clsId="FilterNodeData">
                              <ref key="filterNode" refId="15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5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27</cust>
                            <i key="index">0</i>
                            <ref key="parent" refId="135"/>
                          </be>
                          <be refId="156" clsId="FilterNode">
                            <l key="dimensionOids" refId="157" ln="1" eid="DimensionOid">
                              <cust clsId="DimensionOid">44455354315F3031-4E-583034---</cust>
                            </l>
                            <l key="AdHocParamDimensionOids" refId="158" ln="0" eid="DimensionOid"/>
                            <be key="data" refId="159" clsId="FilterNodeData">
                              <ref key="filterNode" refId="15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28</cust>
                            <i key="index">0</i>
                            <ref key="parent" refId="135"/>
                          </be>
                          <be refId="161" clsId="FilterNode">
                            <l key="dimensionOids" refId="162" ln="1" eid="DimensionOid">
                              <cust clsId="DimensionOid">44455354315F3031-4E-583035---</cust>
                            </l>
                            <l key="AdHocParamDimensionOids" refId="163" ln="0" eid="DimensionOid"/>
                            <be key="data" refId="164" clsId="FilterNodeData">
                              <ref key="filterNode" refId="16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29</cust>
                            <i key="index">0</i>
                            <ref key="parent" refId="135"/>
                          </be>
                          <be refId="166" clsId="FilterNode">
                            <l key="dimensionOids" refId="167" ln="1" eid="DimensionOid">
                              <cust clsId="DimensionOid">44455354315F3031-4E-583036---</cust>
                            </l>
                            <l key="AdHocParamDimensionOids" refId="168" ln="0" eid="DimensionOid"/>
                            <be key="data" refId="169" clsId="FilterNodeData">
                              <ref key="filterNode" refId="16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30</cust>
                            <i key="index">0</i>
                            <ref key="parent" refId="135"/>
                          </be>
                          <be refId="171" clsId="FilterNode">
                            <l key="dimensionOids" refId="172" ln="0" eid="DimensionOid"/>
                            <l key="AdHocParamDimensionOids" refId="173" ln="0" eid="DimensionOid"/>
                            <be key="data" refId="174" clsId="FilterNodeData">
                              <ref key="filterNode" refId="171"/>
                              <s key="dim">DEST1_01</s>
                              <i key="segmentLevel">0</i>
                              <ref key="segment" refId="17"/>
                              <be key="reportingFormula" refId="175" clsId="ReportingFormula">
                                <b key="serverFormula">N</b>
                                <b key="formulaRule">N</b>
                                <s key="formula">sum({25}:{30})</s>
                              </be>
                              <be key="dictionaryHeader" refId="176" clsId="MultiDesc">
                                <a key="desc" refId="177" ln="4" eid="SYS_STR">
                                  <s>Total New Positions</s>
                                  <s>Total New Positions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7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31</cust>
                            <s key="cod">PH</s>
                            <s key="desc"/>
                            <i key="index">0</i>
                            <ref key="parent" refId="135"/>
                          </be>
                        </l>
                        <ref key="parent" refId="13"/>
                      </be>
                      <be refId="179" clsId="FilterNode">
                        <l key="dimensionOids" refId="180" ln="0" eid="DimensionOid"/>
                        <l key="AdHocParamDimensionOids" refId="181" ln="0" eid="DimensionOid"/>
                        <be key="data" refId="182" clsId="FilterNodeData">
                          <ref key="filterNode" refId="179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</cust>
                        <s key="cod">PH</s>
                        <s key="desc"/>
                        <i key="index">0</i>
                        <l key="children" refId="184" ln="2" eid="Framework.com.tagetik.trees.INode,framework">
                          <be refId="185" clsId="FilterNode">
                            <l key="dimensionOids" refId="186" ln="0" eid="DimensionOid"/>
                            <l key="AdHocParamDimensionOids" refId="187" ln="0" eid="DimensionOid"/>
                            <be key="data" refId="188" clsId="FilterNodeData">
                              <ref key="filterNode" refId="185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18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32</cust>
                            <s key="cod">PH</s>
                            <s key="desc"/>
                            <i key="index">0</i>
                            <ref key="parent" refId="179"/>
                          </be>
                          <be refId="190" clsId="FilterNode">
                            <l key="dimensionOids" refId="191" ln="0" eid="DimensionOid"/>
                            <l key="AdHocParamDimensionOids" refId="192" ln="0" eid="DimensionOid"/>
                            <be key="data" refId="193" clsId="FilterNodeData">
                              <ref key="filterNode" refId="190"/>
                              <s key="dim">DEST1_01</s>
                              <i key="segmentLevel">0</i>
                              <ref key="segment" refId="17"/>
                              <be key="reportingFormula" refId="194" clsId="ReportingFormula">
                                <b key="serverFormula">N</b>
                                <b key="formulaRule">N</b>
                                <s key="formula">{16}+{19}+{31}</s>
                              </be>
                              <be key="dictionaryHeader" refId="195" clsId="MultiDesc">
                                <a key="desc" refId="196" ln="4" eid="SYS_STR">
                                  <s>TOTAL EMPLOYEES</s>
                                  <s>TOTAL EMPLOYEES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9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23</cust>
                            <s key="cod">PH</s>
                            <s key="desc"/>
                            <i key="index">0</i>
                            <ref key="parent" refId="179"/>
                          </be>
                        </l>
                        <ref key="parent" refId="13"/>
                      </be>
                    </l>
                  </be>
                  <be key="columns" refId="198" clsId="FilterNode">
                    <l key="dimensionOids" refId="199" ln="0" eid="DimensionOid"/>
                    <l key="AdHocParamDimensionOids" refId="200" ln="0" eid="DimensionOid"/>
                    <be key="data" refId="201" clsId="FilterNodeData">
                      <ref key="filterNode" refId="198"/>
                      <i key="segmentLevel">0</i>
                      <ref key="segment" refId="17"/>
                      <b key="placeHolder">N</b>
                      <ref key="weight" refId="18"/>
                      <be key="textMatchingCondition" refId="2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Columns</s>
                    <i key="index">0</i>
                    <l key="children" refId="203" ln="5" eid="Framework.com.tagetik.trees.INode,framework">
                      <be refId="204" clsId="FilterNode">
                        <l key="dimensionOids" refId="205" ln="1" eid="DimensionOid">
                          <cust clsId="DimensionOid">534345-45-5350424447--50-</cust>
                        </l>
                        <l key="AdHocParamDimensionOids" refId="206" ln="0" eid="DimensionOid"/>
                        <be key="data" refId="207" clsId="FilterNodeData">
                          <ref key="filterNode" refId="20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l key="children" refId="209" ln="5" eid="Framework.com.tagetik.trees.INode,framework">
                          <be refId="210" clsId="FilterNode">
                            <l key="dimensionOids" refId="211" ln="1" eid="DimensionOid">
                              <cust clsId="DimensionOid">504552-45-3033---</cust>
                            </l>
                            <l key="AdHocParamDimensionOids" refId="212" ln="0" eid="DimensionOid"/>
                            <be key="data" refId="213" clsId="FilterNodeData">
                              <ref key="filterNode" refId="21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1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i key="index">0</i>
                            <ref key="parent" refId="204"/>
                          </be>
                          <be refId="215" clsId="FilterNode">
                            <l key="dimensionOids" refId="216" ln="1" eid="DimensionOid">
                              <cust clsId="DimensionOid">504552-45-3036---</cust>
                            </l>
                            <l key="AdHocParamDimensionOids" refId="217" ln="0" eid="DimensionOid"/>
                            <be key="data" refId="218" clsId="FilterNodeData">
                              <ref key="filterNode" refId="21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1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ref key="parent" refId="204"/>
                          </be>
                          <be refId="220" clsId="FilterNode">
                            <l key="dimensionOids" refId="221" ln="1" eid="DimensionOid">
                              <cust clsId="DimensionOid">504552-45-3039---</cust>
                            </l>
                            <l key="AdHocParamDimensionOids" refId="222" ln="0" eid="DimensionOid"/>
                            <be key="data" refId="223" clsId="FilterNodeData">
                              <ref key="filterNode" refId="22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204"/>
                          </be>
                          <be refId="225" clsId="FilterNode">
                            <l key="dimensionOids" refId="226" ln="1" eid="DimensionOid">
                              <cust clsId="DimensionOid">504552-45-3132---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i key="index">0</i>
                            <ref key="parent" refId="204"/>
                          </be>
                          <be refId="230" clsId="FilterNode">
                            <l key="dimensionOids" refId="231" ln="0" eid="DimensionOid"/>
                            <l key="AdHocParamDimensionOids" refId="232" ln="0" eid="DimensionOid"/>
                            <be key="data" refId="233" clsId="FilterNodeData">
                              <ref key="filterNode" refId="230"/>
                              <s key="dim">PER</s>
                              <i key="segmentLevel">0</i>
                              <ref key="segment" refId="17"/>
                              <be key="reportingFormula" refId="234" clsId="ReportingFormula">
                                <b key="serverFormula">N</b>
                                <b key="formulaRule">N</b>
                                <s key="formula">SUM({2}:{5})</s>
                              </be>
                              <be key="dictionaryHeader" refId="235" clsId="MultiDesc">
                                <a key="desc" refId="236" ln="4" eid="SYS_STR">
                                  <s>Total</s>
                                  <s>Total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s key="cod">PH</s>
                            <s key="desc"/>
                            <i key="index">0</i>
                            <ref key="parent" refId="204"/>
                          </be>
                        </l>
                        <ref key="parent" refId="198"/>
                      </be>
                      <be refId="238" clsId="FilterNode">
                        <l key="dimensionOids" refId="239" ln="0" eid="DimensionOid"/>
                        <l key="AdHocParamDimensionOids" refId="240" ln="0" eid="DimensionOid"/>
                        <be key="data" refId="241" clsId="FilterNodeData">
                          <ref key="filterNode" refId="238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>PH</s>
                        <s key="desc"/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0" eid="DimensionOid"/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PER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s key="cod">PH</s>
                            <s key="desc"/>
                            <i key="index">0</i>
                            <ref key="parent" refId="238"/>
                          </be>
                        </l>
                        <ref key="parent" refId="198"/>
                      </be>
                      <be refId="249" clsId="FilterNode">
                        <l key="dimensionOids" refId="250" ln="1" eid="DimensionOid">
                          <cust clsId="DimensionOid">534345-45-5350424447--50-</cust>
                        </l>
                        <l key="AdHocParamDimensionOids" refId="251" ln="0" eid="DimensionOid"/>
                        <be key="data" refId="252" clsId="FilterNodeData">
                          <ref key="filterNode" refId="24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54" ln="1" eid="ScenarioModifierValue">
                            <e refId="255" id="ScenarioModifierValue">RIF3</e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l key="children" refId="256" ln="5" eid="Framework.com.tagetik.trees.INode,framework">
                          <be refId="257" clsId="FilterNode">
                            <l key="dimensionOids" refId="258" ln="1" eid="DimensionOid">
                              <cust clsId="DimensionOid">504552-45-3033---</cust>
                            </l>
                            <l key="AdHocParamDimensionOids" refId="259" ln="0" eid="DimensionOid"/>
                            <be key="data" refId="260" clsId="FilterNodeData">
                              <ref key="filterNode" refId="25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6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i key="index">0</i>
                            <ref key="parent" refId="249"/>
                          </be>
                          <be refId="262" clsId="FilterNode">
                            <l key="dimensionOids" refId="263" ln="1" eid="DimensionOid">
                              <cust clsId="DimensionOid">504552-45-3036---</cust>
                            </l>
                            <l key="AdHocParamDimensionOids" refId="264" ln="0" eid="DimensionOid"/>
                            <be key="data" refId="265" clsId="FilterNodeData">
                              <ref key="filterNode" refId="26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6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i key="index">0</i>
                            <ref key="parent" refId="249"/>
                          </be>
                          <be refId="267" clsId="FilterNode">
                            <l key="dimensionOids" refId="268" ln="1" eid="DimensionOid">
                              <cust clsId="DimensionOid">504552-45-3039---</cust>
                            </l>
                            <l key="AdHocParamDimensionOids" refId="269" ln="0" eid="DimensionOid"/>
                            <be key="data" refId="270" clsId="FilterNodeData">
                              <ref key="filterNode" refId="26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7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i key="index">0</i>
                            <ref key="parent" refId="249"/>
                          </be>
                          <be refId="272" clsId="FilterNode">
                            <l key="dimensionOids" refId="273" ln="1" eid="DimensionOid">
                              <cust clsId="DimensionOid">504552-45-3132---</cust>
                            </l>
                            <l key="AdHocParamDimensionOids" refId="274" ln="0" eid="DimensionOid"/>
                            <be key="data" refId="275" clsId="FilterNodeData">
                              <ref key="filterNode" refId="27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7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i key="index">0</i>
                            <ref key="parent" refId="249"/>
                          </be>
                          <be refId="277" clsId="FilterNode">
                            <l key="dimensionOids" refId="278" ln="0" eid="DimensionOid"/>
                            <l key="AdHocParamDimensionOids" refId="279" ln="0" eid="DimensionOid"/>
                            <be key="data" refId="280" clsId="FilterNodeData">
                              <ref key="filterNode" refId="277"/>
                              <s key="dim">PER</s>
                              <i key="segmentLevel">0</i>
                              <ref key="segment" refId="17"/>
                              <be key="reportingFormula" refId="281" clsId="ReportingFormula">
                                <b key="serverFormula">N</b>
                                <b key="formulaRule">N</b>
                                <s key="formula">SUM({8}:{11})</s>
                              </be>
                              <be key="dictionaryHeader" refId="282" clsId="MultiDesc">
                                <a key="desc" refId="283" ln="4" eid="SYS_STR">
                                  <s>Total</s>
                                  <s>Total</s>
                                  <nl/>
                                  <s>Total</s>
                                </a>
                              </be>
                              <b key="placeHolder">S</b>
                              <ref key="weight" refId="18"/>
                              <be key="textMatchingCondition" refId="28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s key="cod">PH</s>
                            <s key="desc"/>
                            <i key="index">0</i>
                            <ref key="parent" refId="249"/>
                          </be>
                        </l>
                        <ref key="parent" refId="198"/>
                      </be>
                      <be refId="285" clsId="FilterNode">
                        <l key="dimensionOids" refId="286" ln="0" eid="DimensionOid"/>
                        <l key="AdHocParamDimensionOids" refId="287" ln="0" eid="DimensionOid"/>
                        <be key="data" refId="288" clsId="FilterNodeData">
                          <ref key="filterNode" refId="285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>PH</s>
                        <s key="desc"/>
                        <i key="index">0</i>
                        <l key="children" refId="290" ln="1" eid="Framework.com.tagetik.trees.INode,framework">
                          <be refId="291" clsId="FilterNode">
                            <l key="dimensionOids" refId="292" ln="0" eid="DimensionOid"/>
                            <l key="AdHocParamDimensionOids" refId="293" ln="0" eid="DimensionOid"/>
                            <be key="data" refId="294" clsId="FilterNodeData">
                              <ref key="filterNode" refId="291"/>
                              <s key="dim">PER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29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</cust>
                            <s key="cod">PH</s>
                            <s key="desc"/>
                            <i key="index">0</i>
                            <ref key="parent" refId="285"/>
                          </be>
                        </l>
                        <ref key="parent" refId="198"/>
                      </be>
                      <be refId="296" clsId="FilterNode">
                        <l key="dimensionOids" refId="297" ln="0" eid="DimensionOid"/>
                        <l key="AdHocParamDimensionOids" refId="298" ln="0" eid="DimensionOid"/>
                        <be key="data" refId="299" clsId="FilterNodeData">
                          <ref key="filterNode" refId="296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>PH</s>
                        <s key="desc"/>
                        <i key="index">0</i>
                        <l key="children" refId="301" ln="5" eid="Framework.com.tagetik.trees.INode,framework">
                          <be refId="302" clsId="FilterNode">
                            <l key="dimensionOids" refId="303" ln="0" eid="DimensionOid"/>
                            <l key="AdHocParamDimensionOids" refId="304" ln="0" eid="DimensionOid"/>
                            <be key="data" refId="305" clsId="FilterNodeData">
                              <ref key="filterNode" refId="302"/>
                              <s key="dim">PER</s>
                              <i key="segmentLevel">0</i>
                              <ref key="segment" refId="17"/>
                              <be key="reportingFormula" refId="306" clsId="ReportingFormula">
                                <b key="serverFormula">N</b>
                                <b key="formulaRule">N</b>
                                <s key="formula">{2}-{8}</s>
                              </be>
                              <be key="dictionaryHeader" refId="307" clsId="MultiDesc">
                                <a key="desc" refId="308" ln="4" eid="SYS_STR">
                                  <s>Mar</s>
                                  <s>Mar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</cust>
                            <s key="cod">PH</s>
                            <s key="desc"/>
                            <i key="index">0</i>
                            <ref key="parent" refId="296"/>
                          </be>
                          <be refId="310" clsId="FilterNode">
                            <l key="dimensionOids" refId="311" ln="0" eid="DimensionOid"/>
                            <l key="AdHocParamDimensionOids" refId="312" ln="0" eid="DimensionOid"/>
                            <be key="data" refId="313" clsId="FilterNodeData">
                              <ref key="filterNode" refId="310"/>
                              <s key="dim">PER</s>
                              <i key="segmentLevel">0</i>
                              <ref key="segment" refId="17"/>
                              <be key="reportingFormula" refId="314" clsId="ReportingFormula">
                                <b key="serverFormula">N</b>
                                <b key="formulaRule">N</b>
                                <s key="formula">{3}-{9}</s>
                              </be>
                              <be key="dictionaryHeader" refId="315" clsId="MultiDesc">
                                <a key="desc" refId="316" ln="4" eid="SYS_STR">
                                  <s>June</s>
                                  <s>June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23</cust>
                            <s key="cod">PH</s>
                            <s key="desc"/>
                            <i key="index">0</i>
                            <ref key="parent" refId="296"/>
                          </be>
                          <be refId="318" clsId="FilterNode">
                            <l key="dimensionOids" refId="319" ln="0" eid="DimensionOid"/>
                            <l key="AdHocParamDimensionOids" refId="320" ln="0" eid="DimensionOid"/>
                            <be key="data" refId="321" clsId="FilterNodeData">
                              <ref key="filterNode" refId="318"/>
                              <s key="dim">PER</s>
                              <i key="segmentLevel">0</i>
                              <ref key="segment" refId="17"/>
                              <be key="reportingFormula" refId="322" clsId="ReportingFormula">
                                <b key="serverFormula">N</b>
                                <b key="formulaRule">N</b>
                                <s key="formula">{4}-{10}</s>
                              </be>
                              <be key="dictionaryHeader" refId="323" clsId="MultiDesc">
                                <a key="desc" refId="324" ln="4" eid="SYS_STR">
                                  <s>Sept</s>
                                  <s>Sept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2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>PH</s>
                            <s key="desc"/>
                            <i key="index">0</i>
                            <ref key="parent" refId="296"/>
                          </be>
                          <be refId="326" clsId="FilterNode">
                            <l key="dimensionOids" refId="327" ln="0" eid="DimensionOid"/>
                            <l key="AdHocParamDimensionOids" refId="328" ln="0" eid="DimensionOid"/>
                            <be key="data" refId="329" clsId="FilterNodeData">
                              <ref key="filterNode" refId="326"/>
                              <s key="dim">PER</s>
                              <i key="segmentLevel">0</i>
                              <ref key="segment" refId="17"/>
                              <be key="reportingFormula" refId="330" clsId="ReportingFormula">
                                <b key="serverFormula">N</b>
                                <b key="formulaRule">N</b>
                                <s key="formula">{5}-{11}</s>
                              </be>
                              <be key="dictionaryHeader" refId="331" clsId="MultiDesc">
                                <a key="desc" refId="332" ln="4" eid="SYS_STR">
                                  <s>Dec</s>
                                  <s>Dec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3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</cust>
                            <s key="cod">PH</s>
                            <s key="desc"/>
                            <i key="index">0</i>
                            <ref key="parent" refId="296"/>
                          </be>
                          <be refId="334" clsId="FilterNode">
                            <l key="dimensionOids" refId="335" ln="0" eid="DimensionOid"/>
                            <l key="AdHocParamDimensionOids" refId="336" ln="0" eid="DimensionOid"/>
                            <be key="data" refId="337" clsId="FilterNodeData">
                              <ref key="filterNode" refId="334"/>
                              <s key="dim">PER</s>
                              <i key="segmentLevel">0</i>
                              <ref key="segment" refId="17"/>
                              <be key="reportingFormula" refId="338" clsId="ReportingFormula">
                                <b key="serverFormula">N</b>
                                <b key="formulaRule">N</b>
                                <s key="formula">{15}-{14}</s>
                              </be>
                              <be key="dictionaryHeader" refId="339" clsId="MultiDesc">
                                <a key="desc" refId="340" ln="4" eid="SYS_STR">
                                  <s>Total</s>
                                  <s>Total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4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</cust>
                            <s key="cod">PH</s>
                            <s key="desc"/>
                            <i key="index">0</i>
                            <ref key="parent" refId="296"/>
                          </be>
                        </l>
                        <ref key="parent" refId="198"/>
                      </be>
                    </l>
                  </be>
                  <be key="matrixFilters" refId="342" clsId="FilterNode">
                    <l key="dimensionOids" refId="343" ln="0" eid="DimensionOid"/>
                    <l key="AdHocParamDimensionOids" refId="344" ln="0" eid="DimensionOid"/>
                    <be key="data" refId="345" clsId="FilterNodeData">
                      <ref key="filterNode" refId="342"/>
                      <i key="segmentLevel">0</i>
                      <ref key="segment" refId="17"/>
                      <b key="placeHolder">N</b>
                      <ref key="weight" refId="18"/>
                      <be key="textMatchingCondition" refId="3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Matrix</s>
                    <i key="index">0</i>
                    <l key="children" refId="347" ln="1" eid="Framework.com.tagetik.trees.INode,framework">
                      <be refId="348" clsId="FilterNode">
                        <l key="dimensionOids" refId="349" ln="1" eid="DimensionOid">
                          <cust clsId="DimensionOid">4C554E504552-45-4C554E5F33---</cust>
                        </l>
                        <l key="AdHocParamDimensionOids" refId="350" ln="0" eid="DimensionOid"/>
                        <be key="data" refId="351" clsId="FilterNodeData">
                          <ref key="filterNode" refId="348"/>
                          <s key="dim">LUNPER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353" ln="1" eid="Framework.com.tagetik.trees.INode,framework">
                          <be refId="354" clsId="FilterNode">
                            <l key="dimensionOids" refId="355" ln="1" eid="DimensionOid">
                              <cust clsId="DimensionOid">544950-45-5449505F4F---</cust>
                            </l>
                            <l key="AdHocParamDimensionOids" refId="356" ln="0" eid="DimensionOid"/>
                            <be key="data" refId="357" clsId="FilterNodeData">
                              <ref key="filterNode" refId="354"/>
                              <s key="dim">TIP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5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l key="children" refId="359" ln="1" eid="Framework.com.tagetik.trees.INode,framework">
                              <be refId="360" clsId="FilterNode">
                                <l key="dimensionOids" refId="361" ln="1" eid="DimensionOid">
                                  <cust clsId="DimensionOid">434154-45-24414D4F554E54---</cust>
                                </l>
                                <l key="AdHocParamDimensionOids" refId="362" ln="0" eid="DimensionOid"/>
                                <be key="data" refId="363" clsId="FilterNodeData">
                                  <ref key="filterNode" refId="360"/>
                                  <s key="dim">CAT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6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4</cust>
                                <i key="index">0</i>
                                <l key="children" refId="365" ln="1" eid="Framework.com.tagetik.trees.INode,framework">
                                  <be refId="366" clsId="FilterNode">
                                    <l key="dimensionOids" refId="367" ln="3" eid="DimensionOid">
                                      <cust clsId="DimensionOid">564F435F3230-4E-3030324131---</cust>
                                      <cust clsId="DimensionOid">564F435F3230-4E-3030324132---</cust>
                                      <cust clsId="DimensionOid">564F435F3230-4E-3030324133---</cust>
                                    </l>
                                    <l key="AdHocParamDimensionOids" refId="368" ln="0" eid="DimensionOid"/>
                                    <be key="data" refId="369" clsId="FilterNodeData">
                                      <ref key="filterNode" refId="366"/>
                                      <s key="dim">VOC_20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70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6</cust>
                                    <i key="index">0</i>
                                    <ref key="parent" refId="360"/>
                                  </be>
                                </l>
                                <ref key="parent" refId="354"/>
                              </be>
                            </l>
                            <ref key="parent" refId="348"/>
                          </be>
                        </l>
                        <ref key="parent" refId="342"/>
                      </be>
                    </l>
                  </be>
                  <be key="rowHeaders" refId="371" clsId="ReportingHeaders">
                    <m key="headers" refId="372" keid="SYS_PR_I" veid="System.Collections.IList">
                      <key>
                        <i>-2</i>
                      </key>
                      <val>
                        <l refId="373" ln="1">
                          <s>$Cust_Dim3(HIERARCHY("06")).desc</s>
                        </l>
                      </val>
                      <key>
                        <i>-1</i>
                      </key>
                      <val>
                        <l refId="374" ln="1">
                          <s>$Cust_Dim1(HIERARCHY("01")).desc</s>
                        </l>
                      </val>
                    </m>
                    <m key="headersDims" refId="375" keid="SYS_PR_I" veid="SYS_STR">
                      <key>
                        <i>-2</i>
                      </key>
                      <val>
                        <s>DEST3_06</s>
                      </val>
                      <key>
                        <i>-1</i>
                      </key>
                      <val>
                        <s>DEST1_01</s>
                      </val>
                    </m>
                  </be>
                  <be key="columnHeaders" refId="376" clsId="ReportingHeaders">
                    <m key="headers" refId="377" keid="SYS_PR_I" veid="System.Collections.IList">
                      <key>
                        <i>-2</i>
                      </key>
                      <val>
                        <l refId="378" ln="1">
                          <s>$Scenario.desc</s>
                        </l>
                      </val>
                      <key>
                        <i>-1</i>
                      </key>
                      <val>
                        <l refId="379" ln="1">
                          <s>$Period.desc</s>
                        </l>
                      </val>
                    </m>
                    <m key="headersDims" refId="380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PER</s>
                      </val>
                    </m>
                  </be>
                  <e key="styleType" refId="381" id="MatrixStyleType">0</e>
                  <b key="subtotalOnTop">N</b>
                  <b key="leavesFirst">N</b>
                  <b key="groupSubtotal">N</b>
                  <b key="replaceWithPlaceholder">N</b>
                  <b key="onlyFirstHeader">S</b>
                  <b key="allowRangeBreak">N</b>
                  <b key="showZeros">N</b>
                  <i key="maxRows">0</i>
                  <e key="rowsExpansionMode" refId="382" id="RowColExpansionMode">1</e>
                  <i key="maxCols">0</i>
                  <ref key="colsExpansionMode" refId="382"/>
                  <e key="columnsAutofitMode" refId="383" id="ColumnsAutofitMode">0</e>
                  <b key="useForcedBoundDims">N</b>
                  <e key="disableHints" refId="384" id="MatrixHintsPolicy">N</e>
                  <e key="tipoAllineamentoLordiIC" refId="385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38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87" ln="0" eid="Reporting.com.tagetik.tables.IMatixCellLeafPositions,Reporting"/>
                  <m key="forcedEditModes" refId="388" keid="Reporting.com.tagetik.tables.IMatixCellLeafPositions,Reporting" veid="SYS_STR"/>
                  <b key="UseTxlDeFormEditor">N</b>
                  <be key="TxDeFormsEditorDescriptor" refId="389" clsId="TxDeFormsEditorDescriptor">
                    <l key="Tabs" refId="39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391" keid="SYS_STR" veid="CodeCellField">
              <key>
                <s>CellField00</s>
              </key>
              <val>
                <be refId="392" clsId="CodeCellField">
                  <s key="code">CellField00</s>
                  <s key="cellField">CONCATENATE("Run by ",user.desc," on ",report.runDate)</s>
                </be>
              </val>
            </m>
            <m key="dictionary" refId="393" keid="SYS_STR" veid="CodeMultiDescVO"/>
            <m key="controlExpressions" refId="394" keid="SYS_STR" veid="CodedExpControlloProspetto"/>
            <m key="inlineParameters" refId="395" keid="SYS_STR" veid="CodedInlineParameter"/>
            <m key="queries" refId="396" keid="SYS_STR" veid="Reporting.com.tagetik.query.IUserDefinedQueryVO,Reporting"/>
            <be key="sheets" refId="397" clsId="FilterNode">
              <l key="dimensionOids" refId="398" ln="0" eid="DimensionOid"/>
              <l key="AdHocParamDimensionOids" refId="399" ln="0" eid="DimensionOid"/>
              <be key="data" refId="400" clsId="FilterNodeData">
                <ref key="filterNode" refId="397"/>
                <i key="segmentLevel">0</i>
                <ref key="segment" refId="17"/>
                <b key="placeHolder">N</b>
                <ref key="weight" refId="18"/>
                <be key="textMatchingCondition" refId="40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402" keid="SYS_STR" veid="ElaborationsLauncher"/>
            <m key="actionLists" refId="403" keid="SYS_STR" veid="Reporting.com.tagetik.actionlist.ISnapshotActionList,Reporting"/>
            <l key="areas" refId="404" ln="1" eid="SYS_STR">
              <s>PLAN</s>
            </l>
            <l key="charts" refId="405" ln="0" eid="SYS_STR"/>
            <l key="pivots" refId="406" ln="0" eid="SYS_STR"/>
          </be>
        </val>
        <key>
          <s>Template00</s>
        </key>
        <val>
          <be refId="407" clsId="ReportTemplateVO">
            <s key="code">Template00</s>
            <s key="desc">PL</s>
            <m key="matrices" refId="408" keid="SYS_STR" veid="Reporting.com.tagetik.tables.IMatrixPositionBlockVO,Reporting">
              <key>
                <s>BDG/ACT VARIATION</s>
              </key>
              <val>
                <be refId="409" clsId="MatrixPositionBlockVO">
                  <s key="positionID">BDG/ACT VARIATION</s>
                  <be key="rows" refId="410" clsId="FilterNode">
                    <l key="dimensionOids" refId="411" ln="0" eid="DimensionOid"/>
                    <l key="AdHocParamDimensionOids" refId="412" ln="0" eid="DimensionOid"/>
                    <be key="data" refId="413" clsId="FilterNodeData">
                      <be key="filterNode" refId="414" clsId="FilterNode">
                        <l key="dimensionOids" refId="415" ln="0" eid="DimensionOid"/>
                        <l key="AdHocParamDimensionOids" refId="416" ln="0" eid="DimensionOid"/>
                        <be key="data" refId="417" clsId="FilterNodeData">
                          <ref key="filterNode" refId="414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Rows</s>
                        <i key="index">0</i>
                        <l key="children" refId="419" ln="28" eid="Framework.com.tagetik.trees.INode,framework">
                          <be refId="420" clsId="FilterNode">
                            <l key="dimensionOids" refId="421" ln="1" eid="DimensionOid">
                              <cust clsId="DimensionOid">564F43-4E-3031307C3530303130----53-45</cust>
                            </l>
                            <l key="AdHocParamDimensionOids" refId="422" ln="0" eid="DimensionOid"/>
                            <be key="data" refId="423" clsId="FilterNodeData">
                              <ref key="filterNode" refId="420"/>
                              <s key="dim">VOC</s>
                              <i key="segmentLevel">0</i>
                              <e key="segment" refId="424" id="SegmentEnum">N</e>
                              <b key="placeHolder">N</b>
                              <ref key="weight" refId="18"/>
                              <be key="textMatchingCondition" refId="425" clsId="TextMatchingCondition">
                                <ref key="op" refId="20"/>
                                <s key="val"/>
                              </be>
                              <e key="change" refId="426" id="ChangeEnum">CHG_N</e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2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172</cust>
                            <s key="cod"/>
                            <s key="desc"/>
                            <i key="index">0</i>
                            <l key="children" refId="428" ln="0" eid="Framework.com.tagetik.trees.INode,framework"/>
                            <ref key="parent" refId="414"/>
                          </be>
                          <be refId="429" clsId="FilterNode">
                            <l key="dimensionOids" refId="430" ln="1" eid="DimensionOid">
                              <cust clsId="DimensionOid">564F43-4E-3031307C3530303230----53-45</cust>
                            </l>
                            <l key="AdHocParamDimensionOids" refId="431" ln="0" eid="DimensionOid"/>
                            <be key="data" refId="432" clsId="FilterNodeData">
                              <ref key="filterNode" refId="42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3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3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174</cust>
                            <s key="cod"/>
                            <s key="desc"/>
                            <i key="index">1</i>
                            <l key="children" refId="435" ln="0" eid="Framework.com.tagetik.trees.INode,framework"/>
                            <ref key="parent" refId="414"/>
                          </be>
                          <be refId="436" clsId="FilterNode">
                            <l key="dimensionOids" refId="437" ln="1" eid="DimensionOid">
                              <cust clsId="DimensionOid">564F43-4E-3031307C3530303330----53-45</cust>
                            </l>
                            <l key="AdHocParamDimensionOids" refId="438" ln="0" eid="DimensionOid"/>
                            <be key="data" refId="439" clsId="FilterNodeData">
                              <ref key="filterNode" refId="436"/>
                              <s key="dim">VOC</s>
                              <i key="segmentLevel">0</i>
                              <ref key="segment" refId="424"/>
                              <be key="reportingFormula" refId="440" clsId="ReportingFormula">
                                <b key="serverFormula">N</b>
                                <b key="formulaRule">N</b>
                                <s key="formula">(-{172})-{174}</s>
                              </be>
                              <b key="placeHolder">N</b>
                              <ref key="weight" refId="18"/>
                              <be key="textMatchingCondition" refId="44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4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176</cust>
                            <s key="cod"/>
                            <s key="desc"/>
                            <i key="index">2</i>
                            <l key="children" refId="443" ln="0" eid="Framework.com.tagetik.trees.INode,framework"/>
                            <ref key="parent" refId="414"/>
                          </be>
                          <be refId="444" clsId="FilterNode">
                            <l key="dimensionOids" refId="445" ln="1" eid="DimensionOid">
                              <cust clsId="DimensionOid">564F43-4E-3031307C3530313130----53-45</cust>
                            </l>
                            <l key="AdHocParamDimensionOids" refId="446" ln="0" eid="DimensionOid"/>
                            <be key="data" refId="447" clsId="FilterNodeData">
                              <ref key="filterNode" refId="444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4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4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178</cust>
                            <s key="cod"/>
                            <s key="desc"/>
                            <i key="index">3</i>
                            <l key="children" refId="450" ln="0" eid="Framework.com.tagetik.trees.INode,framework"/>
                            <ref key="parent" refId="414"/>
                          </be>
                          <be refId="451" clsId="FilterNode">
                            <l key="dimensionOids" refId="452" ln="1" eid="DimensionOid">
                              <cust clsId="DimensionOid">564F43-4E-3031307C3530313230----53-45</cust>
                            </l>
                            <l key="AdHocParamDimensionOids" refId="453" ln="0" eid="DimensionOid"/>
                            <be key="data" refId="454" clsId="FilterNodeData">
                              <ref key="filterNode" refId="451"/>
                              <s key="dim">VOC</s>
                              <i key="segmentLevel">0</i>
                              <ref key="segment" refId="424"/>
                              <be key="reportingFormula" refId="455" clsId="ReportingFormula">
                                <b key="serverFormula">N</b>
                                <b key="formulaRule">N</b>
                                <s key="formula">(-{176})+{178}</s>
                              </be>
                              <b key="placeHolder">N</b>
                              <ref key="weight" refId="18"/>
                              <be key="textMatchingCondition" refId="45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5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180</cust>
                            <s key="cod"/>
                            <s key="desc"/>
                            <i key="index">4</i>
                            <l key="children" refId="458" ln="0" eid="Framework.com.tagetik.trees.INode,framework"/>
                            <ref key="parent" refId="414"/>
                          </be>
                          <be refId="459" clsId="FilterNode">
                            <l key="dimensionOids" refId="460" ln="1" eid="DimensionOid">
                              <cust clsId="DimensionOid">564F43-4E-3031307C3530323130----53-45</cust>
                            </l>
                            <l key="AdHocParamDimensionOids" refId="461" ln="0" eid="DimensionOid"/>
                            <be key="data" refId="462" clsId="FilterNodeData">
                              <ref key="filterNode" refId="45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6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6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182</cust>
                            <s key="cod"/>
                            <s key="desc"/>
                            <i key="index">5</i>
                            <l key="children" refId="465" ln="0" eid="Framework.com.tagetik.trees.INode,framework"/>
                            <ref key="parent" refId="414"/>
                          </be>
                          <be refId="466" clsId="FilterNode">
                            <l key="dimensionOids" refId="467" ln="1" eid="DimensionOid">
                              <cust clsId="DimensionOid">564F43-4E-3031307C3530323230----53-45</cust>
                            </l>
                            <l key="AdHocParamDimensionOids" refId="468" ln="0" eid="DimensionOid"/>
                            <be key="data" refId="469" clsId="FilterNodeData">
                              <ref key="filterNode" refId="466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7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7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184</cust>
                            <s key="cod"/>
                            <s key="desc"/>
                            <i key="index">6</i>
                            <l key="children" refId="472" ln="0" eid="Framework.com.tagetik.trees.INode,framework"/>
                            <ref key="parent" refId="414"/>
                          </be>
                          <be refId="473" clsId="FilterNode">
                            <l key="dimensionOids" refId="474" ln="1" eid="DimensionOid">
                              <cust clsId="DimensionOid">564F43-4E-3031307C3530323330----53-45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VOC</s>
                              <i key="segmentLevel">0</i>
                              <ref key="segment" refId="424"/>
                              <be key="reportingFormula" refId="477" clsId="ReportingFormula">
                                <b key="serverFormula">N</b>
                                <b key="formulaRule">N</b>
                                <s key="formula">{182}+{184}</s>
                              </be>
                              <b key="placeHolder">N</b>
                              <ref key="weight" refId="18"/>
                              <be key="textMatchingCondition" refId="47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7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186</cust>
                            <s key="cod"/>
                            <s key="desc"/>
                            <i key="index">7</i>
                            <l key="children" refId="480" ln="0" eid="Framework.com.tagetik.trees.INode,framework"/>
                            <ref key="parent" refId="414"/>
                          </be>
                          <be refId="481" clsId="FilterNode">
                            <l key="dimensionOids" refId="482" ln="1" eid="DimensionOid">
                              <cust clsId="DimensionOid">564F43-4E-3031307C3530323430----53-45</cust>
                            </l>
                            <l key="AdHocParamDimensionOids" refId="483" ln="0" eid="DimensionOid"/>
                            <be key="data" refId="484" clsId="FilterNodeData">
                              <ref key="filterNode" refId="481"/>
                              <s key="dim">VOC</s>
                              <i key="segmentLevel">0</i>
                              <ref key="segment" refId="424"/>
                              <be key="reportingFormula" refId="485" clsId="ReportingFormula">
                                <b key="serverFormula">N</b>
                                <b key="formulaRule">N</b>
                                <s key="formula">(-{180})+{186}</s>
                              </be>
                              <b key="placeHolder">N</b>
                              <ref key="weight" refId="18"/>
                              <be key="textMatchingCondition" refId="48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188</cust>
                            <s key="cod"/>
                            <s key="desc"/>
                            <i key="index">8</i>
                            <l key="children" refId="488" ln="0" eid="Framework.com.tagetik.trees.INode,framework"/>
                            <ref key="parent" refId="414"/>
                          </be>
                          <be refId="489" clsId="FilterNode">
                            <l key="dimensionOids" refId="490" ln="1" eid="DimensionOid">
                              <cust clsId="DimensionOid">564F43-4E-3031307C3530333130----53-45</cust>
                            </l>
                            <l key="AdHocParamDimensionOids" refId="491" ln="0" eid="DimensionOid"/>
                            <be key="data" refId="492" clsId="FilterNodeData">
                              <ref key="filterNode" refId="48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9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9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190</cust>
                            <s key="cod"/>
                            <s key="desc"/>
                            <i key="index">9</i>
                            <l key="children" refId="495" ln="0" eid="Framework.com.tagetik.trees.INode,framework"/>
                            <ref key="parent" refId="414"/>
                          </be>
                          <be refId="496" clsId="FilterNode">
                            <l key="dimensionOids" refId="497" ln="1" eid="DimensionOid">
                              <cust clsId="DimensionOid">564F43-4E-3031307C3530333230----53-45</cust>
                            </l>
                            <l key="AdHocParamDimensionOids" refId="498" ln="0" eid="DimensionOid"/>
                            <be key="data" refId="499" clsId="FilterNodeData">
                              <ref key="filterNode" refId="496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0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0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192</cust>
                            <s key="cod"/>
                            <s key="desc"/>
                            <i key="index">10</i>
                            <l key="children" refId="502" ln="0" eid="Framework.com.tagetik.trees.INode,framework"/>
                            <ref key="parent" refId="414"/>
                          </be>
                          <be refId="503" clsId="FilterNode">
                            <l key="dimensionOids" refId="504" ln="1" eid="DimensionOid">
                              <cust clsId="DimensionOid">564F43-4E-3031307C3530333330----53-45</cust>
                            </l>
                            <l key="AdHocParamDimensionOids" refId="505" ln="0" eid="DimensionOid"/>
                            <be key="data" refId="506" clsId="FilterNodeData">
                              <ref key="filterNode" refId="503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07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0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194</cust>
                            <s key="cod"/>
                            <s key="desc"/>
                            <i key="index">11</i>
                            <l key="children" refId="509" ln="0" eid="Framework.com.tagetik.trees.INode,framework"/>
                            <ref key="parent" refId="414"/>
                          </be>
                          <be refId="510" clsId="FilterNode">
                            <l key="dimensionOids" refId="511" ln="1" eid="DimensionOid">
                              <cust clsId="DimensionOid">564F43-4E-3031307C3530333430----53-45</cust>
                            </l>
                            <l key="AdHocParamDimensionOids" refId="512" ln="0" eid="DimensionOid"/>
                            <be key="data" refId="513" clsId="FilterNodeData">
                              <ref key="filterNode" refId="510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1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1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196</cust>
                            <s key="cod"/>
                            <s key="desc"/>
                            <i key="index">12</i>
                            <l key="children" refId="516" ln="0" eid="Framework.com.tagetik.trees.INode,framework"/>
                            <ref key="parent" refId="414"/>
                          </be>
                          <be refId="517" clsId="FilterNode">
                            <l key="dimensionOids" refId="518" ln="1" eid="DimensionOid">
                              <cust clsId="DimensionOid">564F43-4E-3031307C3530333530----53-45</cust>
                            </l>
                            <l key="AdHocParamDimensionOids" refId="519" ln="0" eid="DimensionOid"/>
                            <be key="data" refId="520" clsId="FilterNodeData">
                              <ref key="filterNode" refId="517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2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2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198</cust>
                            <s key="cod"/>
                            <s key="desc"/>
                            <i key="index">13</i>
                            <l key="children" refId="523" ln="0" eid="Framework.com.tagetik.trees.INode,framework"/>
                            <ref key="parent" refId="414"/>
                          </be>
                          <be refId="524" clsId="FilterNode">
                            <l key="dimensionOids" refId="525" ln="1" eid="DimensionOid">
                              <cust clsId="DimensionOid">564F43-4E-3031307C3530333535----53-45</cust>
                            </l>
                            <l key="AdHocParamDimensionOids" refId="526" ln="0" eid="DimensionOid"/>
                            <be key="data" refId="527" clsId="FilterNodeData">
                              <ref key="filterNode" refId="524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2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2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200</cust>
                            <s key="cod"/>
                            <s key="desc"/>
                            <i key="index">14</i>
                            <l key="children" refId="530" ln="0" eid="Framework.com.tagetik.trees.INode,framework"/>
                            <ref key="parent" refId="414"/>
                          </be>
                          <be refId="531" clsId="FilterNode">
                            <l key="dimensionOids" refId="532" ln="1" eid="DimensionOid">
                              <cust clsId="DimensionOid">564F43-4E-3031307C3530333830----53-45</cust>
                            </l>
                            <l key="AdHocParamDimensionOids" refId="533" ln="0" eid="DimensionOid"/>
                            <be key="data" refId="534" clsId="FilterNodeData">
                              <ref key="filterNode" refId="531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3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3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202</cust>
                            <s key="cod"/>
                            <s key="desc"/>
                            <i key="index">15</i>
                            <l key="children" refId="537" ln="0" eid="Framework.com.tagetik.trees.INode,framework"/>
                            <ref key="parent" refId="414"/>
                          </be>
                          <be refId="538" clsId="FilterNode">
                            <l key="dimensionOids" refId="539" ln="1" eid="DimensionOid">
                              <cust clsId="DimensionOid">564F43-4E-3031307C3530333930----53-45</cust>
                            </l>
                            <l key="AdHocParamDimensionOids" refId="540" ln="0" eid="DimensionOid"/>
                            <be key="data" refId="541" clsId="FilterNodeData">
                              <ref key="filterNode" refId="538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4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4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204</cust>
                            <s key="cod"/>
                            <s key="desc"/>
                            <i key="index">16</i>
                            <l key="children" refId="544" ln="0" eid="Framework.com.tagetik.trees.INode,framework"/>
                            <ref key="parent" refId="414"/>
                          </be>
                          <be refId="545" clsId="FilterNode">
                            <l key="dimensionOids" refId="546" ln="1" eid="DimensionOid">
                              <cust clsId="DimensionOid">564F43-4E-3031307C3530343030----53-45</cust>
                            </l>
                            <l key="AdHocParamDimensionOids" refId="547" ln="0" eid="DimensionOid"/>
                            <be key="data" refId="548" clsId="FilterNodeData">
                              <ref key="filterNode" refId="545"/>
                              <s key="dim">VOC</s>
                              <i key="segmentLevel">0</i>
                              <ref key="segment" refId="424"/>
                              <be key="reportingFormula" refId="549" clsId="ReportingFormula">
                                <b key="serverFormula">N</b>
                                <b key="formulaRule">N</b>
                                <s key="formula">{190}+{192}+{194}+{196}+{202}+{198}+{200}+{204}</s>
                              </be>
                              <b key="placeHolder">N</b>
                              <ref key="weight" refId="18"/>
                              <be key="textMatchingCondition" refId="55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5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206</cust>
                            <s key="cod"/>
                            <s key="desc"/>
                            <i key="index">17</i>
                            <l key="children" refId="552" ln="0" eid="Framework.com.tagetik.trees.INode,framework"/>
                            <ref key="parent" refId="414"/>
                          </be>
                          <be refId="553" clsId="FilterNode">
                            <l key="dimensionOids" refId="554" ln="1" eid="DimensionOid">
                              <cust clsId="DimensionOid">564F43-4E-3031307C3530343035----53-45</cust>
                            </l>
                            <l key="AdHocParamDimensionOids" refId="555" ln="0" eid="DimensionOid"/>
                            <be key="data" refId="556" clsId="FilterNodeData">
                              <ref key="filterNode" refId="553"/>
                              <s key="dim">VOC</s>
                              <i key="segmentLevel">0</i>
                              <ref key="segment" refId="424"/>
                              <be key="reportingFormula" refId="557" clsId="ReportingFormula">
                                <b key="serverFormula">N</b>
                                <b key="formulaRule">N</b>
                                <s key="formula">(-{188})+{206}</s>
                              </be>
                              <b key="placeHolder">N</b>
                              <ref key="weight" refId="18"/>
                              <be key="textMatchingCondition" refId="55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55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208</cust>
                            <s key="cod"/>
                            <s key="desc"/>
                            <i key="index">18</i>
                            <l key="children" refId="560" ln="0" eid="Framework.com.tagetik.trees.INode,framework"/>
                            <ref key="parent" refId="414"/>
                          </be>
                          <be refId="561" clsId="FilterNode">
                            <l key="dimensionOids" refId="562" ln="1" eid="DimensionOid">
                              <cust clsId="DimensionOid">564F43-4E-3031307C3530343130----53-45</cust>
                            </l>
                            <l key="AdHocParamDimensionOids" refId="563" ln="0" eid="DimensionOid"/>
                            <be key="data" refId="564" clsId="FilterNodeData">
                              <ref key="filterNode" refId="561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6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6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210</cust>
                            <s key="cod"/>
                            <s key="desc"/>
                            <i key="index">19</i>
                            <l key="children" refId="567" ln="0" eid="Framework.com.tagetik.trees.INode,framework"/>
                            <ref key="parent" refId="414"/>
                          </be>
                          <be refId="568" clsId="FilterNode">
                            <l key="dimensionOids" refId="569" ln="1" eid="DimensionOid">
                              <cust clsId="DimensionOid">564F43-4E-3031307C3530343230----53-45</cust>
                            </l>
                            <l key="AdHocParamDimensionOids" refId="570" ln="0" eid="DimensionOid"/>
                            <be key="data" refId="571" clsId="FilterNodeData">
                              <ref key="filterNode" refId="568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7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7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212</cust>
                            <s key="cod"/>
                            <s key="desc"/>
                            <i key="index">20</i>
                            <l key="children" refId="574" ln="0" eid="Framework.com.tagetik.trees.INode,framework"/>
                            <ref key="parent" refId="414"/>
                          </be>
                          <be refId="575" clsId="FilterNode">
                            <l key="dimensionOids" refId="576" ln="1" eid="DimensionOid">
                              <cust clsId="DimensionOid">564F43-4E-3031307C3530343330----53-45</cust>
                            </l>
                            <l key="AdHocParamDimensionOids" refId="577" ln="0" eid="DimensionOid"/>
                            <be key="data" refId="578" clsId="FilterNodeData">
                              <ref key="filterNode" refId="575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7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8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214</cust>
                            <s key="cod"/>
                            <s key="desc"/>
                            <i key="index">21</i>
                            <l key="children" refId="581" ln="0" eid="Framework.com.tagetik.trees.INode,framework"/>
                            <ref key="parent" refId="414"/>
                          </be>
                          <be refId="582" clsId="FilterNode">
                            <l key="dimensionOids" refId="583" ln="1" eid="DimensionOid">
                              <cust clsId="DimensionOid">564F43-4E-3031307C3530343830----53-45</cust>
                            </l>
                            <l key="AdHocParamDimensionOids" refId="584" ln="0" eid="DimensionOid"/>
                            <be key="data" refId="585" clsId="FilterNodeData">
                              <ref key="filterNode" refId="582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8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216</cust>
                            <s key="cod"/>
                            <s key="desc"/>
                            <i key="index">22</i>
                            <l key="children" refId="588" ln="0" eid="Framework.com.tagetik.trees.INode,framework"/>
                            <ref key="parent" refId="414"/>
                          </be>
                          <be refId="589" clsId="FilterNode">
                            <l key="dimensionOids" refId="590" ln="1" eid="DimensionOid">
                              <cust clsId="DimensionOid">564F43-4E-3031307C3530343930----53-45</cust>
                            </l>
                            <l key="AdHocParamDimensionOids" refId="591" ln="0" eid="DimensionOid"/>
                            <be key="data" refId="592" clsId="FilterNodeData">
                              <ref key="filterNode" refId="589"/>
                              <s key="dim">VOC</s>
                              <i key="segmentLevel">0</i>
                              <ref key="segment" refId="424"/>
                              <be key="reportingFormula" refId="593" clsId="ReportingFormula">
                                <b key="serverFormula">N</b>
                                <b key="formulaRule">N</b>
                                <s key="formula">(-{208})+{210}+{212}+{214}+{216}</s>
                              </be>
                              <b key="placeHolder">N</b>
                              <ref key="weight" refId="18"/>
                              <be key="textMatchingCondition" refId="59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59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218</cust>
                            <s key="cod"/>
                            <s key="desc"/>
                            <i key="index">23</i>
                            <l key="children" refId="596" ln="0" eid="Framework.com.tagetik.trees.INode,framework"/>
                            <ref key="parent" refId="414"/>
                          </be>
                          <be refId="597" clsId="FilterNode">
                            <l key="dimensionOids" refId="598" ln="1" eid="DimensionOid">
                              <cust clsId="DimensionOid">564F43-4E-3031307C3530353130----53-45</cust>
                            </l>
                            <l key="AdHocParamDimensionOids" refId="599" ln="0" eid="DimensionOid"/>
                            <be key="data" refId="600" clsId="FilterNodeData">
                              <ref key="filterNode" refId="597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60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60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220</cust>
                            <s key="cod"/>
                            <s key="desc"/>
                            <i key="index">24</i>
                            <l key="children" refId="603" ln="0" eid="Framework.com.tagetik.trees.INode,framework"/>
                            <ref key="parent" refId="414"/>
                          </be>
                          <be refId="604" clsId="FilterNode">
                            <l key="dimensionOids" refId="605" ln="1" eid="DimensionOid">
                              <cust clsId="DimensionOid">564F43-4E-3031307C3530353230----53-45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VOC</s>
                              <i key="segmentLevel">0</i>
                              <ref key="segment" refId="424"/>
                              <be key="reportingFormula" refId="608" clsId="ReportingFormula">
                                <b key="serverFormula">N</b>
                                <b key="formulaRule">N</b>
                                <s key="formula">(-{218})+{220}</s>
                              </be>
                              <b key="placeHolder">N</b>
                              <ref key="weight" refId="18"/>
                              <be key="textMatchingCondition" refId="60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61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222</cust>
                            <s key="cod"/>
                            <s key="desc"/>
                            <i key="index">25</i>
                            <l key="children" refId="611" ln="0" eid="Framework.com.tagetik.trees.INode,framework"/>
                            <ref key="parent" refId="414"/>
                          </be>
                          <be refId="612" clsId="FilterNode">
                            <l key="dimensionOids" refId="613" ln="1" eid="DimensionOid">
                              <cust clsId="DimensionOid">564F43-4E-3031307C3530363130----53-45</cust>
                            </l>
                            <l key="AdHocParamDimensionOids" refId="614" ln="0" eid="DimensionOid"/>
                            <be key="data" refId="615" clsId="FilterNodeData">
                              <ref key="filterNode" refId="612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61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61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224</cust>
                            <s key="cod"/>
                            <s key="desc"/>
                            <i key="index">26</i>
                            <l key="children" refId="618" ln="0" eid="Framework.com.tagetik.trees.INode,framework"/>
                            <ref key="parent" refId="414"/>
                          </be>
                          <be refId="619" clsId="FilterNode">
                            <l key="dimensionOids" refId="620" ln="1" eid="DimensionOid">
                              <cust clsId="DimensionOid">564F43-4E-3031307C3530373130----53-45</cust>
                            </l>
                            <l key="AdHocParamDimensionOids" refId="621" ln="0" eid="DimensionOid"/>
                            <be key="data" refId="622" clsId="FilterNodeData">
                              <ref key="filterNode" refId="619"/>
                              <s key="dim">VOC</s>
                              <i key="segmentLevel">0</i>
                              <ref key="segment" refId="424"/>
                              <be key="reportingFormula" refId="623" clsId="ReportingFormula">
                                <b key="serverFormula">N</b>
                                <b key="formulaRule">N</b>
                                <s key="formula">(-{222})+{224}</s>
                              </be>
                              <b key="placeHolder">N</b>
                              <ref key="weight" refId="18"/>
                              <be key="textMatchingCondition" refId="62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62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226</cust>
                            <s key="cod"/>
                            <s key="desc"/>
                            <i key="index">27</i>
                            <l key="children" refId="626" ln="0" eid="Framework.com.tagetik.trees.INode,framework"/>
                            <ref key="parent" refId="414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62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628" ln="28" eid="Framework.com.tagetik.trees.INode,framework">
                      <be refId="629" clsId="FilterNode">
                        <l key="dimensionOids" refId="630" ln="1" eid="DimensionOid">
                          <cust clsId="DimensionOid">564F43-4E-3031307C3530303130----53-45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3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172</cust>
                        <s key="cod"/>
                        <s key="desc"/>
                        <i key="index">0</i>
                        <l key="children" refId="635" ln="0" eid="Framework.com.tagetik.trees.INode,framework"/>
                        <ref key="parent" refId="410"/>
                      </be>
                      <be refId="636" clsId="FilterNode">
                        <l key="dimensionOids" refId="637" ln="1" eid="DimensionOid">
                          <cust clsId="DimensionOid">564F43-4E-3031307C3530303230----53-45</cust>
                        </l>
                        <l key="AdHocParamDimensionOids" refId="638" ln="0" eid="DimensionOid"/>
                        <be key="data" refId="639" clsId="FilterNodeData">
                          <ref key="filterNode" refId="63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4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4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174</cust>
                        <s key="cod"/>
                        <s key="desc"/>
                        <i key="index">1</i>
                        <l key="children" refId="642" ln="0" eid="Framework.com.tagetik.trees.INode,framework"/>
                        <ref key="parent" refId="410"/>
                      </be>
                      <be refId="643" clsId="FilterNode">
                        <l key="dimensionOids" refId="644" ln="1" eid="DimensionOid">
                          <cust clsId="DimensionOid">564F43-4E-3031307C3530303330----53-45</cust>
                        </l>
                        <l key="AdHocParamDimensionOids" refId="645" ln="0" eid="DimensionOid"/>
                        <be key="data" refId="646" clsId="FilterNodeData">
                          <ref key="filterNode" refId="643"/>
                          <s key="dim">VOC</s>
                          <i key="segmentLevel">0</i>
                          <ref key="segment" refId="424"/>
                          <be key="reportingFormula" refId="647" clsId="ReportingFormula">
                            <b key="serverFormula">N</b>
                            <b key="formulaRule">N</b>
                            <s key="formula">-({172}+{174})</s>
                          </be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176</cust>
                        <s key="cod"/>
                        <s key="desc"/>
                        <i key="index">2</i>
                        <l key="children" refId="650" ln="0" eid="Framework.com.tagetik.trees.INode,framework"/>
                        <ref key="parent" refId="410"/>
                      </be>
                      <be refId="651" clsId="FilterNode">
                        <l key="dimensionOids" refId="652" ln="1" eid="DimensionOid">
                          <cust clsId="DimensionOid">564F43-4E-3031307C3530313130----53-45</cust>
                        </l>
                        <l key="AdHocParamDimensionOids" refId="653" ln="0" eid="DimensionOid"/>
                        <be key="data" refId="654" clsId="FilterNodeData">
                          <ref key="filterNode" refId="65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5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5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178</cust>
                        <s key="cod"/>
                        <s key="desc"/>
                        <i key="index">3</i>
                        <l key="children" refId="657" ln="0" eid="Framework.com.tagetik.trees.INode,framework"/>
                        <ref key="parent" refId="410"/>
                      </be>
                      <be refId="658" clsId="FilterNode">
                        <l key="dimensionOids" refId="659" ln="1" eid="DimensionOid">
                          <cust clsId="DimensionOid">564F43-4E-3031307C3530313230----53-45</cust>
                        </l>
                        <l key="AdHocParamDimensionOids" refId="660" ln="0" eid="DimensionOid"/>
                        <be key="data" refId="661" clsId="FilterNodeData">
                          <ref key="filterNode" refId="658"/>
                          <s key="dim">VOC</s>
                          <i key="segmentLevel">0</i>
                          <ref key="segment" refId="424"/>
                          <be key="reportingFormula" refId="662" clsId="ReportingFormula">
                            <b key="serverFormula">N</b>
                            <b key="formulaRule">N</b>
                            <s key="formula">{178}-{176}</s>
                          </be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6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180</cust>
                        <s key="cod"/>
                        <s key="desc"/>
                        <i key="index">4</i>
                        <l key="children" refId="665" ln="0" eid="Framework.com.tagetik.trees.INode,framework"/>
                        <ref key="parent" refId="410"/>
                      </be>
                      <be refId="666" clsId="FilterNode">
                        <l key="dimensionOids" refId="667" ln="1" eid="DimensionOid">
                          <cust clsId="DimensionOid">564F43-4E-3031307C3530323130----53-45</cust>
                        </l>
                        <l key="AdHocParamDimensionOids" refId="668" ln="0" eid="DimensionOid"/>
                        <be key="data" refId="669" clsId="FilterNodeData">
                          <ref key="filterNode" refId="66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7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182</cust>
                        <s key="cod"/>
                        <s key="desc"/>
                        <i key="index">5</i>
                        <l key="children" refId="672" ln="0" eid="Framework.com.tagetik.trees.INode,framework"/>
                        <ref key="parent" refId="410"/>
                      </be>
                      <be refId="673" clsId="FilterNode">
                        <l key="dimensionOids" refId="674" ln="1" eid="DimensionOid">
                          <cust clsId="DimensionOid">564F43-4E-3031307C3530323230----53-45</cust>
                        </l>
                        <l key="AdHocParamDimensionOids" refId="675" ln="0" eid="DimensionOid"/>
                        <be key="data" refId="676" clsId="FilterNodeData">
                          <ref key="filterNode" refId="67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7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184</cust>
                        <s key="cod"/>
                        <s key="desc"/>
                        <i key="index">6</i>
                        <l key="children" refId="679" ln="0" eid="Framework.com.tagetik.trees.INode,framework"/>
                        <ref key="parent" refId="410"/>
                      </be>
                      <be refId="680" clsId="FilterNode">
                        <l key="dimensionOids" refId="681" ln="1" eid="DimensionOid">
                          <cust clsId="DimensionOid">564F43-4E-3031307C3530323330----53-45</cust>
                        </l>
                        <l key="AdHocParamDimensionOids" refId="682" ln="0" eid="DimensionOid"/>
                        <be key="data" refId="683" clsId="FilterNodeData">
                          <ref key="filterNode" refId="680"/>
                          <s key="dim">VOC</s>
                          <i key="segmentLevel">0</i>
                          <ref key="segment" refId="424"/>
                          <be key="reportingFormula" refId="684" clsId="ReportingFormula">
                            <b key="serverFormula">N</b>
                            <b key="formulaRule">N</b>
                            <s key="formula">{182}+{184}</s>
                          </be>
                          <b key="placeHolder">N</b>
                          <ref key="weight" refId="18"/>
                          <be key="textMatchingCondition" refId="68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186</cust>
                        <s key="cod"/>
                        <s key="desc"/>
                        <i key="index">7</i>
                        <l key="children" refId="687" ln="0" eid="Framework.com.tagetik.trees.INode,framework"/>
                        <ref key="parent" refId="410"/>
                      </be>
                      <be refId="688" clsId="FilterNode">
                        <l key="dimensionOids" refId="689" ln="1" eid="DimensionOid">
                          <cust clsId="DimensionOid">564F43-4E-3031307C3530323430----53-45</cust>
                        </l>
                        <l key="AdHocParamDimensionOids" refId="690" ln="0" eid="DimensionOid"/>
                        <be key="data" refId="691" clsId="FilterNodeData">
                          <ref key="filterNode" refId="688"/>
                          <s key="dim">VOC</s>
                          <i key="segmentLevel">0</i>
                          <ref key="segment" refId="424"/>
                          <be key="reportingFormula" refId="692" clsId="ReportingFormula">
                            <b key="serverFormula">N</b>
                            <b key="formulaRule">N</b>
                            <s key="formula">{186}-{180}</s>
                          </be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188</cust>
                        <s key="cod"/>
                        <s key="desc"/>
                        <i key="index">8</i>
                        <l key="children" refId="695" ln="0" eid="Framework.com.tagetik.trees.INode,framework"/>
                        <ref key="parent" refId="410"/>
                      </be>
                      <be refId="696" clsId="FilterNode">
                        <l key="dimensionOids" refId="697" ln="1" eid="DimensionOid">
                          <cust clsId="DimensionOid">564F43-4E-3031307C3530333130----53-45</cust>
                        </l>
                        <l key="AdHocParamDimensionOids" refId="698" ln="0" eid="DimensionOid"/>
                        <be key="data" refId="699" clsId="FilterNodeData">
                          <ref key="filterNode" refId="6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190</cust>
                        <s key="cod"/>
                        <s key="desc"/>
                        <i key="index">9</i>
                        <l key="children" refId="702" ln="0" eid="Framework.com.tagetik.trees.INode,framework"/>
                        <ref key="parent" refId="410"/>
                      </be>
                      <be refId="703" clsId="FilterNode">
                        <l key="dimensionOids" refId="704" ln="1" eid="DimensionOid">
                          <cust clsId="DimensionOid">564F43-4E-3031307C3530333230----53-45</cust>
                        </l>
                        <l key="AdHocParamDimensionOids" refId="705" ln="0" eid="DimensionOid"/>
                        <be key="data" refId="706" clsId="FilterNodeData">
                          <ref key="filterNode" refId="70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0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0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192</cust>
                        <s key="cod"/>
                        <s key="desc"/>
                        <i key="index">10</i>
                        <l key="children" refId="709" ln="0" eid="Framework.com.tagetik.trees.INode,framework"/>
                        <ref key="parent" refId="410"/>
                      </be>
                      <be refId="710" clsId="FilterNode">
                        <l key="dimensionOids" refId="711" ln="1" eid="DimensionOid">
                          <cust clsId="DimensionOid">564F43-4E-3031307C3530333330----53-45</cust>
                        </l>
                        <l key="AdHocParamDimensionOids" refId="712" ln="0" eid="DimensionOid"/>
                        <be key="data" refId="713" clsId="FilterNodeData">
                          <ref key="filterNode" refId="71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1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1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194</cust>
                        <s key="cod"/>
                        <s key="desc"/>
                        <i key="index">11</i>
                        <l key="children" refId="716" ln="0" eid="Framework.com.tagetik.trees.INode,framework"/>
                        <ref key="parent" refId="410"/>
                      </be>
                      <be refId="717" clsId="FilterNode">
                        <l key="dimensionOids" refId="718" ln="1" eid="DimensionOid">
                          <cust clsId="DimensionOid">564F43-4E-3031307C3530333430----53-45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196</cust>
                        <s key="cod"/>
                        <s key="desc"/>
                        <i key="index">12</i>
                        <l key="children" refId="723" ln="0" eid="Framework.com.tagetik.trees.INode,framework"/>
                        <ref key="parent" refId="410"/>
                      </be>
                      <be refId="724" clsId="FilterNode">
                        <l key="dimensionOids" refId="725" ln="1" eid="DimensionOid">
                          <cust clsId="DimensionOid">564F43-4E-3031307C3530333530----53-45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198</cust>
                        <s key="cod"/>
                        <s key="desc"/>
                        <i key="index">13</i>
                        <l key="children" refId="730" ln="0" eid="Framework.com.tagetik.trees.INode,framework"/>
                        <ref key="parent" refId="410"/>
                      </be>
                      <be refId="731" clsId="FilterNode">
                        <l key="dimensionOids" refId="732" ln="1" eid="DimensionOid">
                          <cust clsId="DimensionOid">564F43-4E-3031307C3530333535----53-45</cust>
                        </l>
                        <l key="AdHocParamDimensionOids" refId="733" ln="0" eid="DimensionOid"/>
                        <be key="data" refId="734" clsId="FilterNodeData">
                          <ref key="filterNode" refId="7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200</cust>
                        <s key="cod"/>
                        <s key="desc"/>
                        <i key="index">14</i>
                        <l key="children" refId="737" ln="0" eid="Framework.com.tagetik.trees.INode,framework"/>
                        <ref key="parent" refId="410"/>
                      </be>
                      <be refId="738" clsId="FilterNode">
                        <l key="dimensionOids" refId="739" ln="1" eid="DimensionOid">
                          <cust clsId="DimensionOid">564F43-4E-3031307C3530333830----53-45</cust>
                        </l>
                        <l key="AdHocParamDimensionOids" refId="740" ln="0" eid="DimensionOid"/>
                        <be key="data" refId="741" clsId="FilterNodeData">
                          <ref key="filterNode" refId="7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202</cust>
                        <s key="cod"/>
                        <s key="desc"/>
                        <i key="index">15</i>
                        <l key="children" refId="744" ln="0" eid="Framework.com.tagetik.trees.INode,framework"/>
                        <ref key="parent" refId="410"/>
                      </be>
                      <be refId="745" clsId="FilterNode">
                        <l key="dimensionOids" refId="746" ln="1" eid="DimensionOid">
                          <cust clsId="DimensionOid">564F43-4E-3031307C3530333930----53-45</cust>
                        </l>
                        <l key="AdHocParamDimensionOids" refId="747" ln="0" eid="DimensionOid"/>
                        <be key="data" refId="748" clsId="FilterNodeData">
                          <ref key="filterNode" refId="74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4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204</cust>
                        <s key="cod"/>
                        <s key="desc"/>
                        <i key="index">16</i>
                        <l key="children" refId="751" ln="0" eid="Framework.com.tagetik.trees.INode,framework"/>
                        <ref key="parent" refId="410"/>
                      </be>
                      <be refId="752" clsId="FilterNode">
                        <l key="dimensionOids" refId="753" ln="1" eid="DimensionOid">
                          <cust clsId="DimensionOid">564F43-4E-3031307C3530343030----53-45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VOC</s>
                          <i key="segmentLevel">0</i>
                          <ref key="segment" refId="424"/>
                          <be key="reportingFormula" refId="756" clsId="ReportingFormula">
                            <b key="serverFormula">N</b>
                            <b key="formulaRule">N</b>
                            <s key="formula">{190}+{192}+{194}+{196}+{202}+{198}+{200}+{204}</s>
                          </be>
                          <b key="placeHolder">N</b>
                          <ref key="weight" refId="18"/>
                          <be key="textMatchingCondition" refId="75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5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206</cust>
                        <s key="cod"/>
                        <s key="desc"/>
                        <i key="index">17</i>
                        <l key="children" refId="759" ln="0" eid="Framework.com.tagetik.trees.INode,framework"/>
                        <ref key="parent" refId="410"/>
                      </be>
                      <be refId="760" clsId="FilterNode">
                        <l key="dimensionOids" refId="761" ln="1" eid="DimensionOid">
                          <cust clsId="DimensionOid">564F43-4E-3031307C3530343035----53-45</cust>
                        </l>
                        <l key="AdHocParamDimensionOids" refId="762" ln="0" eid="DimensionOid"/>
                        <be key="data" refId="763" clsId="FilterNodeData">
                          <ref key="filterNode" refId="760"/>
                          <s key="dim">VOC</s>
                          <i key="segmentLevel">0</i>
                          <ref key="segment" refId="424"/>
                          <be key="reportingFormula" refId="764" clsId="ReportingFormula">
                            <b key="serverFormula">N</b>
                            <b key="formulaRule">N</b>
                            <s key="formula">{206}-{188}</s>
                          </be>
                          <b key="placeHolder">N</b>
                          <ref key="weight" refId="18"/>
                          <be key="textMatchingCondition" refId="7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208</cust>
                        <s key="cod"/>
                        <s key="desc"/>
                        <i key="index">18</i>
                        <l key="children" refId="767" ln="0" eid="Framework.com.tagetik.trees.INode,framework"/>
                        <ref key="parent" refId="410"/>
                      </be>
                      <be refId="768" clsId="FilterNode">
                        <l key="dimensionOids" refId="769" ln="1" eid="DimensionOid">
                          <cust clsId="DimensionOid">564F43-4E-3031307C3530343130----53-45</cust>
                        </l>
                        <l key="AdHocParamDimensionOids" refId="770" ln="0" eid="DimensionOid"/>
                        <be key="data" refId="771" clsId="FilterNodeData">
                          <ref key="filterNode" refId="7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210</cust>
                        <s key="cod"/>
                        <s key="desc"/>
                        <i key="index">19</i>
                        <l key="children" refId="774" ln="0" eid="Framework.com.tagetik.trees.INode,framework"/>
                        <ref key="parent" refId="410"/>
                      </be>
                      <be refId="775" clsId="FilterNode">
                        <l key="dimensionOids" refId="776" ln="1" eid="DimensionOid">
                          <cust clsId="DimensionOid">564F43-4E-3031307C3530343230----53-45</cust>
                        </l>
                        <l key="AdHocParamDimensionOids" refId="777" ln="0" eid="DimensionOid"/>
                        <be key="data" refId="778" clsId="FilterNodeData">
                          <ref key="filterNode" refId="7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212</cust>
                        <s key="cod"/>
                        <s key="desc"/>
                        <i key="index">20</i>
                        <l key="children" refId="781" ln="0" eid="Framework.com.tagetik.trees.INode,framework"/>
                        <ref key="parent" refId="410"/>
                      </be>
                      <be refId="782" clsId="FilterNode">
                        <l key="dimensionOids" refId="783" ln="1" eid="DimensionOid">
                          <cust clsId="DimensionOid">564F43-4E-3031307C3530343330----53-45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214</cust>
                        <s key="cod"/>
                        <s key="desc"/>
                        <i key="index">21</i>
                        <l key="children" refId="788" ln="0" eid="Framework.com.tagetik.trees.INode,framework"/>
                        <ref key="parent" refId="410"/>
                      </be>
                      <be refId="789" clsId="FilterNode">
                        <l key="dimensionOids" refId="790" ln="1" eid="DimensionOid">
                          <cust clsId="DimensionOid">564F43-4E-3031307C3530343830----53-45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216</cust>
                        <s key="cod"/>
                        <s key="desc"/>
                        <i key="index">22</i>
                        <l key="children" refId="795" ln="0" eid="Framework.com.tagetik.trees.INode,framework"/>
                        <ref key="parent" refId="410"/>
                      </be>
                      <be refId="796" clsId="FilterNode">
                        <l key="dimensionOids" refId="797" ln="1" eid="DimensionOid">
                          <cust clsId="DimensionOid">564F43-4E-3031307C3530343930----53-45</cust>
                        </l>
                        <l key="AdHocParamDimensionOids" refId="798" ln="0" eid="DimensionOid"/>
                        <be key="data" refId="799" clsId="FilterNodeData">
                          <ref key="filterNode" refId="796"/>
                          <s key="dim">VOC</s>
                          <i key="segmentLevel">0</i>
                          <ref key="segment" refId="424"/>
                          <be key="reportingFormula" refId="800" clsId="ReportingFormula">
                            <b key="serverFormula">N</b>
                            <b key="formulaRule">N</b>
                            <s key="formula">-({208}+{210}+{212}+{214}+{216})</s>
                          </be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218</cust>
                        <s key="cod"/>
                        <s key="desc"/>
                        <i key="index">23</i>
                        <l key="children" refId="803" ln="0" eid="Framework.com.tagetik.trees.INode,framework"/>
                        <ref key="parent" refId="410"/>
                      </be>
                      <be refId="804" clsId="FilterNode">
                        <l key="dimensionOids" refId="805" ln="1" eid="DimensionOid">
                          <cust clsId="DimensionOid">564F43-4E-3031307C3530353130----53-45</cust>
                        </l>
                        <l key="AdHocParamDimensionOids" refId="806" ln="0" eid="DimensionOid"/>
                        <be key="data" refId="807" clsId="FilterNodeData">
                          <ref key="filterNode" refId="80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0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0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220</cust>
                        <s key="cod"/>
                        <s key="desc"/>
                        <i key="index">24</i>
                        <l key="children" refId="810" ln="0" eid="Framework.com.tagetik.trees.INode,framework"/>
                        <ref key="parent" refId="410"/>
                      </be>
                      <be refId="811" clsId="FilterNode">
                        <l key="dimensionOids" refId="812" ln="1" eid="DimensionOid">
                          <cust clsId="DimensionOid">564F43-4E-3031307C3530353230----53-45</cust>
                        </l>
                        <l key="AdHocParamDimensionOids" refId="813" ln="0" eid="DimensionOid"/>
                        <be key="data" refId="814" clsId="FilterNodeData">
                          <ref key="filterNode" refId="811"/>
                          <s key="dim">VOC</s>
                          <i key="segmentLevel">0</i>
                          <ref key="segment" refId="424"/>
                          <be key="reportingFormula" refId="815" clsId="ReportingFormula">
                            <b key="serverFormula">N</b>
                            <b key="formulaRule">N</b>
                            <s key="formula">{220}-{218}</s>
                          </be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222</cust>
                        <s key="cod"/>
                        <s key="desc"/>
                        <i key="index">25</i>
                        <l key="children" refId="818" ln="0" eid="Framework.com.tagetik.trees.INode,framework"/>
                        <ref key="parent" refId="410"/>
                      </be>
                      <be refId="819" clsId="FilterNode">
                        <l key="dimensionOids" refId="820" ln="1" eid="DimensionOid">
                          <cust clsId="DimensionOid">564F43-4E-3031307C3530363130----53-45</cust>
                        </l>
                        <l key="AdHocParamDimensionOids" refId="821" ln="0" eid="DimensionOid"/>
                        <be key="data" refId="822" clsId="FilterNodeData">
                          <ref key="filterNode" refId="8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224</cust>
                        <s key="cod"/>
                        <s key="desc"/>
                        <i key="index">26</i>
                        <l key="children" refId="825" ln="0" eid="Framework.com.tagetik.trees.INode,framework"/>
                        <ref key="parent" refId="410"/>
                      </be>
                      <be refId="826" clsId="FilterNode">
                        <l key="dimensionOids" refId="827" ln="1" eid="DimensionOid">
                          <cust clsId="DimensionOid">564F43-4E-3031307C3530373130----53-45</cust>
                        </l>
                        <l key="AdHocParamDimensionOids" refId="828" ln="0" eid="DimensionOid"/>
                        <be key="data" refId="829" clsId="FilterNodeData">
                          <ref key="filterNode" refId="826"/>
                          <s key="dim">VOC</s>
                          <i key="segmentLevel">0</i>
                          <ref key="segment" refId="424"/>
                          <be key="reportingFormula" refId="830" clsId="ReportingFormula">
                            <b key="serverFormula">N</b>
                            <b key="formulaRule">N</b>
                            <s key="formula">-({222}+{224})</s>
                          </be>
                          <b key="placeHolder">N</b>
                          <ref key="weight" refId="18"/>
                          <be key="textMatchingCondition" refId="83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3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226</cust>
                        <s key="cod"/>
                        <s key="desc"/>
                        <i key="index">27</i>
                        <l key="children" refId="833" ln="0" eid="Framework.com.tagetik.trees.INode,framework"/>
                        <ref key="parent" refId="410"/>
                      </be>
                    </l>
                  </be>
                  <be key="columns" refId="834" clsId="FilterNode">
                    <l key="dimensionOids" refId="835" ln="0" eid="DimensionOid"/>
                    <l key="AdHocParamDimensionOids" refId="836" ln="0" eid="DimensionOid"/>
                    <be key="data" refId="837" clsId="FilterNodeData">
                      <be key="filterNode" refId="838" clsId="FilterNode">
                        <l key="dimensionOids" refId="839" ln="0" eid="DimensionOid"/>
                        <l key="AdHocParamDimensionOids" refId="840" ln="0" eid="DimensionOid"/>
                        <be key="data" refId="841" clsId="FilterNodeData">
                          <ref key="filterNode" refId="838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Columns</s>
                        <i key="index">0</i>
                        <l key="children" refId="843" ln="5" eid="Framework.com.tagetik.trees.INode,framework">
                          <be refId="844" clsId="FilterNode">
                            <l key="dimensionOids" refId="845" ln="1" eid="DimensionOid">
                              <cust clsId="DimensionOid">534345-45-5350424447--50-</cust>
                            </l>
                            <l key="AdHocParamDimensionOids" refId="846" ln="0" eid="DimensionOid"/>
                            <be key="data" refId="847" clsId="FilterNodeData">
                              <ref key="filterNode" refId="844"/>
                              <s key="dim">SCE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84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4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48</cust>
                            <s key="cod"/>
                            <s key="desc"/>
                            <i key="index">0</i>
                            <l key="children" refId="850" ln="0" eid="Framework.com.tagetik.trees.INode,framework"/>
                            <ref key="parent" refId="838"/>
                          </be>
                          <be refId="851" clsId="FilterNode">
                            <l key="dimensionOids" refId="852" ln="1" eid="DimensionOid">
                              <cust clsId="DimensionOid">534345-45-53505F534E415053484F54--50-</cust>
                            </l>
                            <l key="AdHocParamDimensionOids" refId="853" ln="0" eid="DimensionOid"/>
                            <be key="data" refId="854" clsId="FilterNodeData">
                              <ref key="filterNode" refId="851"/>
                              <s key="dim">SCE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85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5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54</cust>
                            <s key="cod"/>
                            <s key="desc"/>
                            <i key="index">1</i>
                            <l key="children" refId="857" ln="0" eid="Framework.com.tagetik.trees.INode,framework"/>
                            <ref key="parent" refId="838"/>
                          </be>
                          <be refId="858" clsId="FilterNode">
                            <l key="dimensionOids" refId="859" ln="0" eid="DimensionOid"/>
                            <l key="AdHocParamDimensionOids" refId="860" ln="0" eid="DimensionOid"/>
                            <be key="data" refId="861" clsId="FilterNodeData">
                              <ref key="filterNode" refId="858"/>
                              <s key="dim">SCE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86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6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43</cust>
                            <s key="cod"/>
                            <s key="desc"/>
                            <i key="index">2</i>
                            <l key="children" refId="864" ln="0" eid="Framework.com.tagetik.trees.INode,framework"/>
                            <ref key="parent" refId="838"/>
                          </be>
                          <be refId="865" clsId="FilterNode">
                            <l key="dimensionOids" refId="866" ln="0" eid="DimensionOid"/>
                            <l key="AdHocParamDimensionOids" refId="867" ln="0" eid="DimensionOid"/>
                            <be key="data" refId="868" clsId="FilterNodeData">
                              <ref key="filterNode" refId="865"/>
                              <s key="dim">SCE</s>
                              <i key="segmentLevel">0</i>
                              <ref key="segment" refId="17"/>
                              <be key="reportingFormula" refId="869" clsId="ReportingFormula">
                                <b key="serverFormula">N</b>
                                <b key="formulaRule">N</b>
                                <s key="formula">{48}-{54}</s>
                              </be>
                              <be key="dictionaryHeader" refId="870" clsId="MultiDesc">
                                <a key="desc" refId="871" ln="4" eid="SYS_STR">
                                  <s>Variazione</s>
                                  <s>Variation</s>
                                  <nl/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87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7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36</cust>
                            <s key="cod"/>
                            <s key="desc"/>
                            <i key="index">3</i>
                            <l key="children" refId="874" ln="0" eid="Framework.com.tagetik.trees.INode,framework"/>
                            <ref key="parent" refId="838"/>
                          </be>
                          <be refId="875" clsId="FilterNode">
                            <l key="dimensionOids" refId="876" ln="0" eid="DimensionOid"/>
                            <l key="AdHocParamDimensionOids" refId="877" ln="0" eid="DimensionOid"/>
                            <be key="data" refId="878" clsId="FilterNodeData">
                              <ref key="filterNode" refId="875"/>
                              <s key="dim">SCE</s>
                              <i key="segmentLevel">0</i>
                              <ref key="segment" refId="17"/>
                              <be key="reportingFormula" refId="879" clsId="ReportingFormula">
                                <b key="serverFormula">N</b>
                                <b key="formulaRule">S</b>
                                <s key="formula">if({54}=0,0,(({48}-{54})/abs({54})))</s>
                              </be>
                              <be key="dictionaryHeader" refId="880" clsId="MultiDesc">
                                <a key="desc" refId="881" ln="4" eid="SYS_STR">
                                  <s>%</s>
                                  <s>%</s>
                                  <s/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88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8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</s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39</cust>
                            <s key="cod"/>
                            <s key="desc"/>
                            <i key="index">4</i>
                            <l key="children" refId="884" ln="0" eid="Framework.com.tagetik.trees.INode,framework"/>
                            <ref key="parent" refId="838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8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886" ln="5" eid="Framework.com.tagetik.trees.INode,framework">
                      <be refId="887" clsId="FilterNode">
                        <l key="dimensionOids" refId="888" ln="1" eid="DimensionOid">
                          <cust clsId="DimensionOid">534345-45-5350424447--50-</cust>
                        </l>
                        <l key="AdHocParamDimensionOids" refId="889" ln="0" eid="DimensionOid"/>
                        <be key="data" refId="890" clsId="FilterNodeData">
                          <ref key="filterNode" refId="887"/>
                          <s key="dim">SCE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9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9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48</cust>
                        <s key="cod"/>
                        <s key="desc"/>
                        <i key="index">0</i>
                        <l key="children" refId="893" ln="0" eid="Framework.com.tagetik.trees.INode,framework"/>
                        <ref key="parent" refId="834"/>
                      </be>
                      <be refId="894" clsId="FilterNode">
                        <l key="dimensionOids" refId="895" ln="1" eid="DimensionOid">
                          <cust clsId="DimensionOid">534345-45-5350424447--50-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99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54</cust>
                        <s key="cod"/>
                        <s key="desc"/>
                        <i key="index">1</i>
                        <l key="children" refId="900" ln="0" eid="Framework.com.tagetik.trees.INode,framework"/>
                        <ref key="parent" refId="834"/>
                      </be>
                      <be refId="901" clsId="FilterNode">
                        <l key="dimensionOids" refId="902" ln="0" eid="DimensionOid"/>
                        <l key="AdHocParamDimensionOids" refId="903" ln="0" eid="DimensionOid"/>
                        <be key="data" refId="904" clsId="FilterNodeData">
                          <ref key="filterNode" refId="901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9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43</cust>
                        <s key="cod"/>
                        <s key="desc"/>
                        <i key="index">2</i>
                        <l key="children" refId="907" ln="0" eid="Framework.com.tagetik.trees.INode,framework"/>
                        <ref key="parent" refId="834"/>
                      </be>
                      <be refId="908" clsId="FilterNode">
                        <l key="dimensionOids" refId="909" ln="0" eid="DimensionOid"/>
                        <l key="AdHocParamDimensionOids" refId="910" ln="0" eid="DimensionOid"/>
                        <be key="data" refId="911" clsId="FilterNodeData">
                          <ref key="filterNode" refId="908"/>
                          <s key="dim">SCE</s>
                          <i key="segmentLevel">0</i>
                          <ref key="segment" refId="17"/>
                          <be key="reportingFormula" refId="912" clsId="ReportingFormula">
                            <b key="serverFormula">N</b>
                            <b key="formulaRule">N</b>
                            <s key="formula">{48}-{54}</s>
                          </be>
                          <be key="dictionaryHeader" refId="913" clsId="MultiDesc">
                            <a key="desc" refId="914" ln="4" eid="SYS_STR">
                              <s>Variazione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9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1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36</cust>
                        <s key="cod"/>
                        <s key="desc"/>
                        <i key="index">3</i>
                        <l key="children" refId="917" ln="0" eid="Framework.com.tagetik.trees.INode,framework"/>
                        <ref key="parent" refId="834"/>
                      </be>
                      <be refId="918" clsId="FilterNode">
                        <l key="dimensionOids" refId="919" ln="0" eid="DimensionOid"/>
                        <l key="AdHocParamDimensionOids" refId="920" ln="0" eid="DimensionOid"/>
                        <be key="data" refId="921" clsId="FilterNodeData">
                          <ref key="filterNode" refId="918"/>
                          <s key="dim">SCE</s>
                          <i key="segmentLevel">0</i>
                          <ref key="segment" refId="17"/>
                          <be key="reportingFormula" refId="922" clsId="ReportingFormula">
                            <b key="serverFormula">N</b>
                            <b key="formulaRule">S</b>
                            <s key="formula">if({54}=0,0,(({48}-{54})/abs({54})))</s>
                          </be>
                          <be key="dictionaryHeader" refId="923" clsId="MultiDesc">
                            <a key="desc" refId="924" ln="4" eid="SYS_STR">
                              <s>%</s>
                              <s>%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9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26" ln="0" eid="ScenarioModifierValue"/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39</cust>
                        <s key="cod"/>
                        <s key="desc"/>
                        <i key="index">4</i>
                        <l key="children" refId="927" ln="0" eid="Framework.com.tagetik.trees.INode,framework"/>
                        <ref key="parent" refId="834"/>
                      </be>
                    </l>
                  </be>
                  <be key="matrixFilters" refId="928" clsId="FilterNode">
                    <l key="dimensionOids" refId="929" ln="0" eid="DimensionOid"/>
                    <l key="AdHocParamDimensionOids" refId="930" ln="0" eid="DimensionOid"/>
                    <be key="data" refId="931" clsId="FilterNodeData">
                      <ref key="filterNode" refId="928"/>
                      <i key="segmentLevel">0</i>
                      <ref key="segment" refId="17"/>
                      <b key="placeHolder">N</b>
                      <ref key="weight" refId="18"/>
                      <be key="textMatchingCondition" refId="93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933" ln="1" eid="Framework.com.tagetik.trees.INode,framework">
                      <be refId="934" clsId="FilterNode">
                        <l key="dimensionOids" refId="935" ln="1" eid="DimensionOid">
                          <cust clsId="DimensionOid">434154-45-24414D4F554E54---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CAT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39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s key="cod"/>
                        <s key="desc"/>
                        <i key="index">0</i>
                        <l key="children" refId="940" ln="1" eid="Framework.com.tagetik.trees.INode,framework">
                          <be refId="941" clsId="FilterNode">
                            <l key="dimensionOids" refId="942" ln="1" eid="DimensionOid">
                              <cust clsId="DimensionOid">544950-45-5449505F4F---</cust>
                            </l>
                            <l key="AdHocParamDimensionOids" refId="943" ln="0" eid="DimensionOid"/>
                            <be key="data" refId="944" clsId="FilterNodeData">
                              <ref key="filterNode" refId="941"/>
                              <s key="dim">TIP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94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94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s key="cod"/>
                            <s key="desc"/>
                            <i key="index">0</i>
                            <l key="children" refId="947" ln="1" eid="Framework.com.tagetik.trees.INode,framework">
                              <be refId="948" clsId="FilterNode">
                                <l key="dimensionOids" refId="949" ln="1" eid="DimensionOid">
                                  <cust clsId="DimensionOid">4445535433-4E-7C7C---</cust>
                                </l>
                                <l key="AdHocParamDimensionOids" refId="950" ln="0" eid="DimensionOid"/>
                                <be key="data" refId="951" clsId="FilterNodeData">
                                  <ref key="filterNode" refId="948"/>
                                  <s key="dim">DEST3</s>
                                  <i key="segmentLevel">0</i>
                                  <ref key="segment" refId="424"/>
                                  <b key="placeHolder">N</b>
                                  <ref key="weight" refId="18"/>
                                  <be key="textMatchingCondition" refId="952" clsId="TextMatchingCondition">
                                    <ref key="op" refId="20"/>
                                    <s key="val"/>
                                  </be>
                                  <ref key="change" refId="426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953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18</cust>
                                <s key="cod"/>
                                <s key="desc"/>
                                <i key="index">0</i>
                                <l key="children" refId="954" ln="1" eid="Framework.com.tagetik.trees.INode,framework">
                                  <be refId="955" clsId="FilterNode">
                                    <l key="dimensionOids" refId="956" ln="1" eid="DimensionOid">
                                      <cust clsId="DimensionOid">44455354315F3031-4E-583030---</cust>
                                    </l>
                                    <l key="AdHocParamDimensionOids" refId="957" ln="0" eid="DimensionOid"/>
                                    <be key="data" refId="958" clsId="FilterNodeData">
                                      <ref key="filterNode" refId="955"/>
                                      <s key="dim">DEST1_01</s>
                                      <i key="segmentLevel">0</i>
                                      <ref key="segment" refId="424"/>
                                      <b key="placeHolder">N</b>
                                      <ref key="weight" refId="18"/>
                                      <be key="textMatchingCondition" refId="959" clsId="TextMatchingCondition">
                                        <ref key="op" refId="20"/>
                                        <s key="val"/>
                                      </be>
                                      <ref key="change" refId="426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960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20</cust>
                                    <s key="cod"/>
                                    <s key="desc"/>
                                    <i key="index">0</i>
                                    <l key="children" refId="961" ln="1" eid="Framework.com.tagetik.trees.INode,framework">
                                      <be refId="962" clsId="FilterNode">
                                        <l key="dimensionOids" refId="963" ln="1" eid="DimensionOid">
                                          <cust clsId="DimensionOid">44455354325F3031-4E-583030---</cust>
                                        </l>
                                        <l key="AdHocParamDimensionOids" refId="964" ln="0" eid="DimensionOid"/>
                                        <be key="data" refId="965" clsId="FilterNodeData">
                                          <ref key="filterNode" refId="962"/>
                                          <s key="dim">DEST2_01</s>
                                          <i key="segmentLevel">0</i>
                                          <ref key="segment" refId="424"/>
                                          <b key="placeHolder">N</b>
                                          <ref key="weight" refId="18"/>
                                          <be key="textMatchingCondition" refId="966" clsId="TextMatchingCondition">
                                            <ref key="op" refId="20"/>
                                            <s key="val"/>
                                          </be>
                                          <ref key="change" refId="426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967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23</cust>
                                        <s key="cod"/>
                                        <s key="desc"/>
                                        <i key="index">0</i>
                                        <l key="children" refId="968" ln="1" eid="Framework.com.tagetik.trees.INode,framework">
                                          <be refId="969" clsId="FilterNode">
                                            <l key="dimensionOids" refId="970" ln="1" eid="DimensionOid">
                                              <cust clsId="DimensionOid">504552-45-3132---</cust>
                                            </l>
                                            <l key="AdHocParamDimensionOids" refId="971" ln="0" eid="DimensionOid"/>
                                            <be key="data" refId="972" clsId="FilterNodeData">
                                              <ref key="filterNode" refId="969"/>
                                              <s key="dim">PER</s>
                                              <i key="segmentLevel">0</i>
                                              <ref key="segment" refId="17"/>
                                              <b key="placeHolder">N</b>
                                              <ref key="weight" refId="18"/>
                                              <be key="textMatchingCondition" refId="973" clsId="TextMatchingCondition">
                                                <ref key="op" refId="20"/>
                                                <s key="val"/>
                                              </be>
                                              <ref key="change" refId="21"/>
                                              <ref key="dataType" refId="22"/>
                                              <b key="prevailingDataType">N</b>
                                              <ref key="editability" refId="23"/>
                                              <b key="signChange">N</b>
                                              <b key="nativeSignChange">N</b>
                                              <i key="sco">0</i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b key="complementary">N</b>
                                              <b key="breakLevelSubtotal">N</b>
                                              <b key="alreadyDrilled">N</b>
                                            </be>
                                            <cust key="id" clsId="FilterOid">27</cust>
                                            <i key="index">0</i>
                                            <ref key="parent" refId="962"/>
                                          </be>
                                        </l>
                                        <ref key="parent" refId="955"/>
                                      </be>
                                    </l>
                                    <ref key="parent" refId="948"/>
                                  </be>
                                </l>
                                <ref key="parent" refId="941"/>
                              </be>
                            </l>
                            <ref key="parent" refId="934"/>
                          </be>
                        </l>
                        <ref key="parent" refId="928"/>
                      </be>
                    </l>
                  </be>
                  <be key="rowHeaders" refId="974" clsId="ReportingHeaders">
                    <m key="headers" refId="975" keid="SYS_PR_I" veid="System.Collections.IList">
                      <key>
                        <i>-1</i>
                      </key>
                      <val>
                        <l refId="976" ln="1">
                          <s>$Account.desc</s>
                        </l>
                      </val>
                    </m>
                    <m key="headersDims" refId="97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978" clsId="ReportingHeaders">
                    <m key="headers" refId="979" keid="SYS_PR_I" veid="System.Collections.IList">
                      <key>
                        <i>-1</i>
                      </key>
                      <val>
                        <l refId="980" ln="1">
                          <s>$Scenario.desc</s>
                        </l>
                      </val>
                    </m>
                    <m key="headersDims" refId="981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e key="styleType" refId="982" id="MatrixStyleType">2</e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ref key="tipoAllineamentoLordiIC" refId="385"/>
                  <set key="forcedDimensions" refId="983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984" keid="SYS_STR" veid="StyleSheet">
                    <key>
                      <s>1</s>
                    </key>
                    <val>
                      <be refId="985" clsId="StyleSheet">
                        <s key="cod">TGK_01</s>
                        <e key="applyFirst" refId="986" id="MultiplePosBlockType">COLUMNS</e>
                        <m key="rules" refId="987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988" ln="1">
                              <be refId="989" clsId="StyleRule">
                                <be key="ruleCondition" refId="990" clsId="StyleRuleCondition">
                                  <b key="trailing">N</b>
                                  <b key="leading">N</b>
                                </be>
                                <s key="codStile">%0.0</s>
                              </be>
                            </l>
                          </val>
                        </m>
                        <d key="dateUpd">1354202185157</d>
                        <e key="tipoClient" refId="991" id="TipoClient">NET</e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2" ln="0" eid="Reporting.com.tagetik.tables.IMatixCellLeafPositions,Reporting"/>
                  <m key="forcedEditModes" refId="993" keid="Reporting.com.tagetik.tables.IMatixCellLeafPositions,Reporting" veid="SYS_STR"/>
                  <b key="UseTxlDeFormEditor">N</b>
                  <be key="TxDeFormsEditorDescriptor" refId="994" clsId="TxDeFormsEditorDescriptor">
                    <l key="Tabs" refId="99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  <key>
                <s>Matrix00</s>
              </key>
              <val>
                <be refId="996" clsId="MatrixPositionBlockVO">
                  <s key="positionID">Matrix00</s>
                  <be key="rows" refId="997" clsId="FilterNode">
                    <l key="dimensionOids" refId="998" ln="0" eid="DimensionOid"/>
                    <l key="AdHocParamDimensionOids" refId="999" ln="0" eid="DimensionOid"/>
                    <be key="data" refId="1000" clsId="FilterNodeData">
                      <be key="filterNode" refId="1001" clsId="FilterNode">
                        <l key="dimensionOids" refId="1002" ln="0" eid="DimensionOid"/>
                        <l key="AdHocParamDimensionOids" refId="1003" ln="0" eid="DimensionOid"/>
                        <be key="data" refId="1004" clsId="FilterNodeData">
                          <ref key="filterNode" refId="1001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cod">ROOT</s>
                        <s key="desc">Rows</s>
                        <i key="index">0</i>
                        <l key="children" refId="1006" ln="1" eid="Framework.com.tagetik.trees.INode,framework">
                          <be refId="1007" clsId="FilterNode">
                            <l key="dimensionOids" refId="1008" ln="1" eid="DimensionOid">
                              <cust clsId="DimensionOid">564F43-4E-3031307C3530303330----53-45</cust>
                            </l>
                            <l key="AdHocParamDimensionOids" refId="1009" ln="0" eid="DimensionOid"/>
                            <be key="data" refId="1010" clsId="FilterNodeData">
                              <ref key="filterNode" refId="1007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1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i key="index">0</i>
                            <ref key="parent" refId="1001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10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Rows</s>
                    <i key="index">0</i>
                    <l key="children" refId="1013" ln="3" eid="Framework.com.tagetik.trees.INode,framework">
                      <be refId="1014" clsId="FilterNode">
                        <l key="dimensionOids" refId="1015" ln="1" eid="DimensionOid">
                          <cust clsId="DimensionOid">534345-45-5350424447--50-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0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0</i>
                        <l key="children" refId="1020" ln="3" eid="Framework.com.tagetik.trees.INode,framework">
                          <be refId="1021" clsId="FilterNode">
                            <l key="dimensionOids" refId="1022" ln="1" eid="DimensionOid">
                              <cust clsId="DimensionOid">564F43-4E-3031307C3530303330----53-45</cust>
                            </l>
                            <l key="AdHocParamDimensionOids" refId="1023" ln="0" eid="DimensionOid"/>
                            <be key="data" refId="1024" clsId="FilterNodeData">
                              <ref key="filterNode" refId="1021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ref key="textMatchingCondition" refId="1011"/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2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s key="cod"/>
                            <s key="desc"/>
                            <i key="index">0</i>
                            <l key="children" refId="1026" ln="0" eid="Framework.com.tagetik.trees.INode,framework"/>
                            <ref key="parent" refId="1014"/>
                          </be>
                          <be refId="1027" clsId="FilterNode">
                            <l key="dimensionOids" refId="1028" ln="1" eid="DimensionOid">
                              <cust clsId="DimensionOid">564F43-4E-3031307C3530343035----53-45</cust>
                            </l>
                            <l key="AdHocParamDimensionOids" refId="1029" ln="0" eid="DimensionOid"/>
                            <be key="data" refId="1030" clsId="FilterNodeData">
                              <ref key="filterNode" refId="1027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3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3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s key="cod"/>
                            <s key="desc"/>
                            <i key="index">1</i>
                            <l key="children" refId="1033" ln="0" eid="Framework.com.tagetik.trees.INode,framework"/>
                            <ref key="parent" refId="1014"/>
                          </be>
                          <be refId="1034" clsId="FilterNode">
                            <l key="dimensionOids" refId="1035" ln="1" eid="DimensionOid">
                              <cust clsId="DimensionOid">564F43-4E-3031307C3530353230----53-45</cust>
                            </l>
                            <l key="AdHocParamDimensionOids" refId="1036" ln="0" eid="DimensionOid"/>
                            <be key="data" refId="1037" clsId="FilterNodeData">
                              <ref key="filterNode" refId="1034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3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s key="cod"/>
                            <s key="desc"/>
                            <i key="index">2</i>
                            <l key="children" refId="1040" ln="0" eid="Framework.com.tagetik.trees.INode,framework"/>
                            <ref key="parent" refId="1014"/>
                          </be>
                        </l>
                        <ref key="parent" refId="997"/>
                      </be>
                      <be refId="1041" clsId="FilterNode">
                        <l key="dimensionOids" refId="1042" ln="1" eid="DimensionOid">
                          <cust clsId="DimensionOid">534345-45-5350424447--50-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046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1</i>
                        <l key="children" refId="1047" ln="3" eid="Framework.com.tagetik.trees.INode,framework">
                          <be refId="1048" clsId="FilterNode">
                            <l key="dimensionOids" refId="1049" ln="1" eid="DimensionOid">
                              <cust clsId="DimensionOid">564F43-4E-3031307C3530303330----53-45</cust>
                            </l>
                            <l key="AdHocParamDimensionOids" refId="1050" ln="0" eid="DimensionOid"/>
                            <be key="data" refId="1051" clsId="FilterNodeData">
                              <ref key="filterNode" refId="1048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5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1054" ln="0" eid="Framework.com.tagetik.trees.INode,framework"/>
                            <ref key="parent" refId="1041"/>
                          </be>
                          <be refId="1055" clsId="FilterNode">
                            <l key="dimensionOids" refId="1056" ln="1" eid="DimensionOid">
                              <cust clsId="DimensionOid">564F43-4E-3031307C3530343035----53-45</cust>
                            </l>
                            <l key="AdHocParamDimensionOids" refId="1057" ln="0" eid="DimensionOid"/>
                            <be key="data" refId="1058" clsId="FilterNodeData">
                              <ref key="filterNode" refId="1055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s key="cod"/>
                            <s key="desc"/>
                            <i key="index">1</i>
                            <l key="children" refId="1061" ln="0" eid="Framework.com.tagetik.trees.INode,framework"/>
                            <ref key="parent" refId="1041"/>
                          </be>
                          <be refId="1062" clsId="FilterNode">
                            <l key="dimensionOids" refId="1063" ln="1" eid="DimensionOid">
                              <cust clsId="DimensionOid">564F43-4E-3031307C3530353230----53-45</cust>
                            </l>
                            <l key="AdHocParamDimensionOids" refId="1064" ln="0" eid="DimensionOid"/>
                            <be key="data" refId="1065" clsId="FilterNodeData">
                              <ref key="filterNode" refId="1062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6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6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s key="cod"/>
                            <s key="desc"/>
                            <i key="index">2</i>
                            <l key="children" refId="1068" ln="0" eid="Framework.com.tagetik.trees.INode,framework"/>
                            <ref key="parent" refId="1041"/>
                          </be>
                        </l>
                        <ref key="parent" refId="997"/>
                      </be>
                      <be refId="1069" clsId="FilterNode">
                        <l key="dimensionOids" refId="1070" ln="0" eid="DimensionOid"/>
                        <l key="AdHocParamDimensionOids" refId="1071" ln="0" eid="DimensionOid"/>
                        <be key="data" refId="1072" clsId="FilterNodeData">
                          <ref key="filterNode" refId="1069"/>
                          <s key="dim">SCE</s>
                          <i key="segmentLevel">0</i>
                          <ref key="segment" refId="17"/>
                          <be key="dictionaryHeader" refId="1073" clsId="MultiDesc">
                            <a key="desc" refId="1074" ln="4" eid="SYS_STR">
                              <s> </s>
                              <s> </s>
                              <s> </s>
                              <nl/>
                            </a>
                          </be>
                          <b key="placeHolder">S</b>
                          <ref key="weight" refId="18"/>
                          <be key="textMatchingCondition" refId="10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>PH</s>
                        <s key="desc"/>
                        <i key="index">0</i>
                        <l key="children" refId="1076" ln="3" eid="Framework.com.tagetik.trees.INode,framework">
                          <be refId="1077" clsId="FilterNode">
                            <l key="dimensionOids" refId="1078" ln="0" eid="DimensionOid"/>
                            <l key="AdHocParamDimensionOids" refId="1079" ln="0" eid="DimensionOid"/>
                            <be key="data" refId="1080" clsId="FilterNodeData">
                              <ref key="filterNode" refId="1077"/>
                              <s key="dim">VOC</s>
                              <i key="segmentLevel">0</i>
                              <ref key="segment" refId="17"/>
                              <be key="reportingFormula" refId="1081" clsId="ReportingFormula">
                                <b key="serverFormula">N</b>
                                <b key="formulaRule">N</b>
                                <s key="formula">{2}-{7}</s>
                              </be>
                              <be key="dictionaryHeader" refId="1082" clsId="MultiDesc">
                                <a key="desc" refId="1083" ln="4" eid="SYS_STR">
                                  <s>Total Gross Sales</s>
                                  <s>Total Gross Sales</s>
                                  <s>Total Gross Sales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08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s key="cod">PH</s>
                            <s key="desc"/>
                            <i key="index">0</i>
                            <ref key="parent" refId="1069"/>
                          </be>
                          <be refId="1085" clsId="FilterNode">
                            <l key="dimensionOids" refId="1086" ln="0" eid="DimensionOid"/>
                            <l key="AdHocParamDimensionOids" refId="1087" ln="0" eid="DimensionOid"/>
                            <be key="data" refId="1088" clsId="FilterNodeData">
                              <ref key="filterNode" refId="1085"/>
                              <s key="dim">VOC</s>
                              <i key="segmentLevel">0</i>
                              <ref key="segment" refId="17"/>
                              <be key="reportingFormula" refId="1089" clsId="ReportingFormula">
                                <b key="serverFormula">N</b>
                                <b key="formulaRule">N</b>
                                <s key="formula">{3}-{8}</s>
                              </be>
                              <be key="dictionaryHeader" refId="1090" clsId="MultiDesc">
                                <a key="desc" refId="1091" ln="4" eid="SYS_STR">
                                  <s>Net Margin</s>
                                  <s>Net Margin</s>
                                  <s>Net Margin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09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s key="cod">PH</s>
                            <s key="desc"/>
                            <i key="index">0</i>
                            <ref key="parent" refId="1069"/>
                          </be>
                          <be refId="1093" clsId="FilterNode">
                            <l key="dimensionOids" refId="1094" ln="0" eid="DimensionOid"/>
                            <l key="AdHocParamDimensionOids" refId="1095" ln="0" eid="DimensionOid"/>
                            <be key="data" refId="1096" clsId="FilterNodeData">
                              <ref key="filterNode" refId="1093"/>
                              <s key="dim">VOC</s>
                              <i key="segmentLevel">0</i>
                              <ref key="segment" refId="17"/>
                              <be key="reportingFormula" refId="1097" clsId="ReportingFormula">
                                <b key="serverFormula">N</b>
                                <b key="formulaRule">N</b>
                                <s key="formula">{4}-{9}</s>
                              </be>
                              <be key="dictionaryHeader" refId="1098" clsId="MultiDesc">
                                <a key="desc" refId="1099" ln="4" eid="SYS_STR">
                                  <s>Net Result</s>
                                  <s>Net Result</s>
                                  <s>Net Result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>PH</s>
                            <s key="desc"/>
                            <i key="index">0</i>
                            <ref key="parent" refId="1069"/>
                          </be>
                        </l>
                        <ref key="parent" refId="997"/>
                      </be>
                    </l>
                  </be>
                  <be key="columns" refId="1101" clsId="FilterNode">
                    <l key="dimensionOids" refId="1102" ln="0" eid="DimensionOid"/>
                    <l key="AdHocParamDimensionOids" refId="1103" ln="0" eid="DimensionOid"/>
                    <be key="data" refId="1104" clsId="FilterNodeData">
                      <ref key="filterNode" refId="1101"/>
                      <i key="segmentLevel">0</i>
                      <ref key="segment" refId="17"/>
                      <b key="placeHolder">N</b>
                      <ref key="weight" refId="18"/>
                      <be key="textMatchingCondition" refId="11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Columns</s>
                    <i key="index">0</i>
                    <l key="children" refId="1106" ln="12" eid="Framework.com.tagetik.trees.INode,framework">
                      <be refId="1107" clsId="FilterNode">
                        <l key="dimensionOids" refId="1108" ln="1" eid="DimensionOid">
                          <cust clsId="DimensionOid">504552-45-3031---</cust>
                        </l>
                        <l key="AdHocParamDimensionOids" refId="1109" ln="0" eid="DimensionOid"/>
                        <be key="data" refId="1110" clsId="FilterNodeData">
                          <ref key="filterNode" refId="110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1101"/>
                      </be>
                      <be refId="1112" clsId="FilterNode">
                        <l key="dimensionOids" refId="1113" ln="1" eid="DimensionOid">
                          <cust clsId="DimensionOid">504552-45-3032---</cust>
                        </l>
                        <l key="AdHocParamDimensionOids" refId="1114" ln="0" eid="DimensionOid"/>
                        <be key="data" refId="1115" clsId="FilterNodeData">
                          <ref key="filterNode" refId="111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101"/>
                      </be>
                      <be refId="1117" clsId="FilterNode">
                        <l key="dimensionOids" refId="1118" ln="1" eid="DimensionOid">
                          <cust clsId="DimensionOid">504552-45-3033---</cust>
                        </l>
                        <l key="AdHocParamDimensionOids" refId="1119" ln="0" eid="DimensionOid"/>
                        <be key="data" refId="1120" clsId="FilterNodeData">
                          <ref key="filterNode" refId="111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1101"/>
                      </be>
                      <be refId="1122" clsId="FilterNode">
                        <l key="dimensionOids" refId="1123" ln="1" eid="DimensionOid">
                          <cust clsId="DimensionOid">504552-45-3034---</cust>
                        </l>
                        <l key="AdHocParamDimensionOids" refId="1124" ln="0" eid="DimensionOid"/>
                        <be key="data" refId="1125" clsId="FilterNodeData">
                          <ref key="filterNode" refId="112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1101"/>
                      </be>
                      <be refId="1127" clsId="FilterNode">
                        <l key="dimensionOids" refId="1128" ln="1" eid="DimensionOid">
                          <cust clsId="DimensionOid">504552-45-3035---</cust>
                        </l>
                        <l key="AdHocParamDimensionOids" refId="1129" ln="0" eid="DimensionOid"/>
                        <be key="data" refId="1130" clsId="FilterNodeData">
                          <ref key="filterNode" refId="112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1101"/>
                      </be>
                      <be refId="1132" clsId="FilterNode">
                        <l key="dimensionOids" refId="1133" ln="1" eid="DimensionOid">
                          <cust clsId="DimensionOid">504552-45-3036---</cust>
                        </l>
                        <l key="AdHocParamDimensionOids" refId="1134" ln="0" eid="DimensionOid"/>
                        <be key="data" refId="1135" clsId="FilterNodeData">
                          <ref key="filterNode" refId="113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1101"/>
                      </be>
                      <be refId="1137" clsId="FilterNode">
                        <l key="dimensionOids" refId="1138" ln="1" eid="DimensionOid">
                          <cust clsId="DimensionOid">504552-45-3037---</cust>
                        </l>
                        <l key="AdHocParamDimensionOids" refId="1139" ln="0" eid="DimensionOid"/>
                        <be key="data" refId="1140" clsId="FilterNodeData">
                          <ref key="filterNode" refId="113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1101"/>
                      </be>
                      <be refId="1142" clsId="FilterNode">
                        <l key="dimensionOids" refId="1143" ln="1" eid="DimensionOid">
                          <cust clsId="DimensionOid">504552-45-3038---</cust>
                        </l>
                        <l key="AdHocParamDimensionOids" refId="1144" ln="0" eid="DimensionOid"/>
                        <be key="data" refId="1145" clsId="FilterNodeData">
                          <ref key="filterNode" refId="114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i key="index">0</i>
                        <ref key="parent" refId="1101"/>
                      </be>
                      <be refId="1147" clsId="FilterNode">
                        <l key="dimensionOids" refId="1148" ln="1" eid="DimensionOid">
                          <cust clsId="DimensionOid">504552-45-3039---</cust>
                        </l>
                        <l key="AdHocParamDimensionOids" refId="1149" ln="0" eid="DimensionOid"/>
                        <be key="data" refId="1150" clsId="FilterNodeData">
                          <ref key="filterNode" refId="114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i key="index">0</i>
                        <ref key="parent" refId="1101"/>
                      </be>
                      <be refId="1152" clsId="FilterNode">
                        <l key="dimensionOids" refId="1153" ln="1" eid="DimensionOid">
                          <cust clsId="DimensionOid">504552-45-3130---</cust>
                        </l>
                        <l key="AdHocParamDimensionOids" refId="1154" ln="0" eid="DimensionOid"/>
                        <be key="data" refId="1155" clsId="FilterNodeData">
                          <ref key="filterNode" refId="115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i key="index">0</i>
                        <ref key="parent" refId="1101"/>
                      </be>
                      <be refId="1157" clsId="FilterNode">
                        <l key="dimensionOids" refId="1158" ln="1" eid="DimensionOid">
                          <cust clsId="DimensionOid">504552-45-3131---</cust>
                        </l>
                        <l key="AdHocParamDimensionOids" refId="1159" ln="0" eid="DimensionOid"/>
                        <be key="data" refId="1160" clsId="FilterNodeData">
                          <ref key="filterNode" refId="115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i key="index">0</i>
                        <ref key="parent" refId="1101"/>
                      </be>
                      <be refId="1162" clsId="FilterNode">
                        <l key="dimensionOids" refId="1163" ln="1" eid="DimensionOid">
                          <cust clsId="DimensionOid">504552-45-3132---</cust>
                        </l>
                        <l key="AdHocParamDimensionOids" refId="1164" ln="0" eid="DimensionOid"/>
                        <be key="data" refId="1165" clsId="FilterNodeData">
                          <ref key="filterNode" refId="116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i key="index">0</i>
                        <ref key="parent" refId="1101"/>
                      </be>
                    </l>
                  </be>
                  <be key="matrixFilters" refId="1167" clsId="FilterNode">
                    <l key="dimensionOids" refId="1168" ln="0" eid="DimensionOid"/>
                    <l key="AdHocParamDimensionOids" refId="1169" ln="0" eid="DimensionOid"/>
                    <be key="data" refId="1170" clsId="FilterNodeData">
                      <ref key="filterNode" refId="1167"/>
                      <i key="segmentLevel">0</i>
                      <ref key="segment" refId="17"/>
                      <b key="placeHolder">N</b>
                      <ref key="weight" refId="18"/>
                      <be key="textMatchingCondition" refId="11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Matrix</s>
                    <i key="index">0</i>
                    <l key="children" refId="1172" ln="1" eid="Framework.com.tagetik.trees.INode,framework">
                      <be refId="1173" clsId="FilterNode">
                        <l key="dimensionOids" refId="1174" ln="1" eid="DimensionOid">
                          <cust clsId="DimensionOid">434154-45-24414D4F554E54---</cust>
                        </l>
                        <l key="AdHocParamDimensionOids" refId="1175" ln="0" eid="DimensionOid"/>
                        <be key="data" refId="1176" clsId="FilterNodeData">
                          <ref key="filterNode" refId="1173"/>
                          <s key="dim">CAT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178" ln="1" eid="Framework.com.tagetik.trees.INode,framework">
                          <be refId="1179" clsId="FilterNode">
                            <l key="dimensionOids" refId="1180" ln="1" eid="DimensionOid">
                              <cust clsId="DimensionOid">4C554E504552-45-4C554E5F31---</cust>
                            </l>
                            <l key="AdHocParamDimensionOids" refId="1181" ln="0" eid="DimensionOid"/>
                            <be key="data" refId="1182" clsId="FilterNodeData">
                              <ref key="filterNode" refId="1179"/>
                              <s key="dim">LUNPER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1173"/>
                          </be>
                        </l>
                        <ref key="parent" refId="1167"/>
                      </be>
                    </l>
                  </be>
                  <be key="rowHeaders" refId="1184" clsId="ReportingHeaders">
                    <m key="headers" refId="1185" keid="SYS_PR_I" veid="System.Collections.IList">
                      <key>
                        <i>-2</i>
                      </key>
                      <val>
                        <l refId="1186" ln="1">
                          <s>$Scenario.desc</s>
                        </l>
                      </val>
                      <key>
                        <i>-1</i>
                      </key>
                      <val>
                        <l refId="1187" ln="1">
                          <s>$Account.desc</s>
                        </l>
                      </val>
                    </m>
                    <m key="headersDims" refId="1188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1189" clsId="ReportingHeaders">
                    <m key="headers" refId="1190" keid="SYS_PR_I" veid="System.Collections.IList">
                      <key>
                        <i>-1</i>
                      </key>
                      <val>
                        <l refId="1191" ln="1">
                          <s>$Period.desc</s>
                        </l>
                      </val>
                    </m>
                    <m key="headersDims" refId="1192" keid="SYS_PR_I" veid="SYS_STR">
                      <key>
                        <i>-1</i>
                      </key>
                      <val>
                        <s>PER</s>
                      </val>
                    </m>
                  </be>
                  <ref key="styleType" refId="98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e key="disableHints" refId="1193" id="MatrixHintsPolicy">C</e>
                  <ref key="tipoAllineamentoLordiIC" refId="385"/>
                  <b key="bindOriginalAmountOnSave">N</b>
                  <b key="showLink">N</b>
                  <i key="index">1</i>
                  <b key="excludeValuatingSheetsWithZeroValues">N</b>
                  <m key="addictionalStyleSheets" refId="119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95" ln="0" eid="Reporting.com.tagetik.tables.IMatixCellLeafPositions,Reporting"/>
                  <m key="forcedEditModes" refId="1196" keid="Reporting.com.tagetik.tables.IMatixCellLeafPositions,Reporting" veid="SYS_STR"/>
                  <b key="UseTxlDeFormEditor">N</b>
                  <be key="TxDeFormsEditorDescriptor" refId="1197" clsId="TxDeFormsEditorDescriptor">
                    <l key="Tabs" refId="119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199" keid="SYS_STR" veid="CodeCellField">
              <key>
                <s>CellField03</s>
              </key>
              <val>
                <be refId="1200" clsId="CodeCellField">
                  <s key="code">CellField03</s>
                  <s key="cellField">
                    CONCATENATE("Run by ",user.desc," on ",report.runDate)
                    <ch cod="0a"/>
                  </s>
                </be>
              </val>
            </m>
            <m key="dictionary" refId="1201" keid="SYS_STR" veid="CodeMultiDescVO"/>
            <m key="controlExpressions" refId="1202" keid="SYS_STR" veid="CodedExpControlloProspetto"/>
            <m key="inlineParameters" refId="1203" keid="SYS_STR" veid="CodedInlineParameter">
              <key>
                <s>InlineParameter01</s>
              </key>
              <val>
                <be refId="1204" clsId="CodedInlineParameter">
                  <s key="code">InlineParameter01</s>
                  <be key="inlineParameter" refId="1205" clsId="InlineParameter">
                    <cust key="oid" clsId="DimensionOid">534345-45-5350424447--50-</cust>
                  </be>
                </be>
              </val>
              <key>
                <s>InlineParameter00</s>
              </key>
              <val>
                <be refId="1206" clsId="CodedInlineParameter">
                  <s key="code">InlineParameter00</s>
                  <be key="inlineParameter" refId="1207" clsId="InlineParameter">
                    <cust key="oid" clsId="DimensionOid">415A495F3130-45-524547494F4E414C5F56494557--50-</cust>
                  </be>
                </be>
              </val>
            </m>
            <m key="queries" refId="1208" keid="SYS_STR" veid="Reporting.com.tagetik.query.IUserDefinedQueryVO,Reporting"/>
            <be key="sheets" refId="1209" clsId="FilterNode">
              <l key="dimensionOids" refId="1210" ln="0" eid="DimensionOid"/>
              <l key="AdHocParamDimensionOids" refId="1211" ln="0" eid="DimensionOid"/>
              <be key="data" refId="1212" clsId="FilterNodeData">
                <ref key="filterNode" refId="1209"/>
                <i key="segmentLevel">0</i>
                <ref key="segment" refId="424"/>
                <b key="placeHolder">N</b>
                <ref key="weight" refId="18"/>
                <be key="textMatchingCondition" refId="1213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1214" keid="SYS_STR" veid="ElaborationsLauncher"/>
            <m key="actionLists" refId="1215" keid="SYS_STR" veid="Reporting.com.tagetik.actionlist.ISnapshotActionList,Reporting">
              <key>
                <s>Hyperlink00</s>
              </key>
              <val>
                <be refId="1216" clsId="ActionList">
                  <be key="rootStep" refId="1217" clsId="ActionNode">
                    <be key="parameters" refId="1218" clsId="ActionListParameters">
                      <s key="cod">Hyperlink00</s>
                      <be key="desc" refId="1219" clsId="MultiDesc">
                        <a key="desc" refId="1220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</be>
                    <s key="actionDescriptorCode">AL</s>
                    <cust key="id" clsId="FilterOid">1</cust>
                    <b key="leaf">N</b>
                    <i key="index">0</i>
                    <l key="children" refId="1221" ln="1" eid="Framework.com.tagetik.trees.INode,framework">
                      <be refId="1222" clsId="ActionNode">
                        <be key="parameters" refId="1223" clsId="OpenReportParameters">
                          <l key="oidReports" refId="1224" ln="1" eid="Framework.com.tagetik.trees.Oid,framework">
                            <cust clsId="DimensionOid">50524F53504554544F-45-323130305F303530-423134303130--</cust>
                          </l>
                          <e key="openTargetMode" refId="1225" id="OpenTargetMode">D</e>
                          <s key="processCode">BUDGET</s>
                          <b key="inheritProcessCode">N</b>
                          <be key="parametersMapping" refId="1226" clsId="ParametersMapping">
                            <m key="SystemParametersValues" refId="1227" keid="SYS_STR" veid="Reporting.com.tagetik.report.parametersValue.IParameterValue,Reporting">
                              <key>
                                <s>415A495F3130-45-524547494F4E414C5F56494557--50-</s>
                              </key>
                              <val>
                                <be refId="1228" clsId="StringParameterValue">
                                  <e key="ParamSetType" refId="1229" id="ParamSetType">AUTO_EREDITA</e>
                                  <s key="Value">${INHERIT}</s>
                                </be>
                              </val>
                              <key>
                                <s>534345-45-5350424447--50-</s>
                              </key>
                              <val>
                                <be refId="1230" clsId="StringParameterValue">
                                  <ref key="ParamSetType" refId="1229"/>
                                  <s key="Value">${INHERIT}</s>
                                </be>
                              </val>
                            </m>
                            <be key="ParametersUnion" refId="1231" clsId="ParametersUnion">
                              <l key="SystemParameters" refId="1232" ln="2" eid="ProspParametro">
                                <be refId="1233" clsId="ProspParametroDim">
                                  <s key="codDimensione">AZI</s>
                                  <a key="allowedOids" refId="1234" ln="0" eid="DimensionOid"/>
                                  <b key="allowsLeafs">S</b>
                                  <b key="allowsNodes">S</b>
                                  <b key="automatico">N</b>
                                  <e key="tipoDinamicita" refId="1235" id="DynamicEnum"/>
                                  <s key="script"/>
                                  <s key="codGerarchia">10</s>
                                  <e key="allowOr" refId="1236" id="AllowOrEnum">D</e>
                                  <e key="autoValorizzaSeOmesso" refId="1237" id="AutoValorizzaSeOmessoEnum">D</e>
                                  <cust key="oid" clsId="DimensionOid">415A495F3130-45-524547494F4E414C5F56494557--50-</cust>
                                  <set key="oidValori" refId="1238" ln="0" eid="DimensionOid"/>
                                  <b key="limParametro">N</b>
                                  <b key="limProcessoDisabilitata">N</b>
                                  <b key="sistema">N</b>
                                  <b key="netClient">S</b>
                                  <s key="descLunga0"/>
                                  <s key="descLunga1"/>
                                  <s key="descLunga2"/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REGIONAL_VIEW</s>
                                  <be key="multiDescVO" refId="1239" clsId="MultiDesc">
                                    <a key="desc" refId="1240" ln="4" eid="SYS_STR">
                                      <s>Regional View Entity Selection</s>
                                      <s>Regional View Entity Selection</s>
                                      <s>Regional View Entity Selection</s>
                                      <nl/>
                                    </a>
                                  </be>
                                </be>
                                <be refId="1241" clsId="ProspParametroDim">
                                  <s key="codDimensione">SCE</s>
                                  <a key="allowedOids" refId="1242" ln="0" eid="DimensionOid"/>
                                  <b key="allowsLeafs">S</b>
                                  <b key="allowsNodes">S</b>
                                  <b key="automatico">N</b>
                                  <ref key="tipoDinamicita" refId="1235"/>
                                  <s key="script">
                                    TGKML 1.0
                                    <ch cod="0a"/>
                                    result :=
                                  </s>
                                  <e key="allowOr" refId="1243" id="AllowOrEnum">N</e>
                                  <ref key="autoValorizzaSeOmesso" refId="1237"/>
                                  <cust key="oid" clsId="DimensionOid">534345-45-5350424447--50-</cust>
                                  <set key="oidValori" refId="1244" ln="3" eid="DimensionOid">
                                    <cust clsId="DimensionOid">534345-45-323031354244475631---</cust>
                                    <cust clsId="DimensionOid">534345-45-32303135424447---</cust>
                                    <cust clsId="DimensionOid">534345-45-323031354244475632---</cust>
                                  </set>
                                  <b key="limParametro">N</b>
                                  <b key="limProcessoDisabilitata">N</b>
                                  <b key="sistema">N</b>
                                  <b key="netClient">S</b>
                                  <s key="descLunga0">Scenario  Parametrico Budget</s>
                                  <s key="descLunga1">Parametric Budget Scenario</s>
                                  <s key="descLunga3"/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SPBDG</s>
                                  <be key="multiDescVO" refId="1245" clsId="MultiDesc">
                                    <a key="desc" refId="1246" ln="4" eid="SYS_STR">
                                      <s>Scenario Budget</s>
                                      <s>Budget Scenario</s>
                                      <nl/>
                                      <s/>
                                    </a>
                                  </be>
                                </be>
                              </l>
                              <m key="SystemVisibilities" refId="1247" keid="SYS_STR" veid="ParameterValuesVisibilities">
                                <key>
                                  <s>415A495F3130-45-524547494F4E414C5F56494557--50-</s>
                                </key>
                                <val>
                                  <be refId="1248" clsId="ParameterValuesVisibilities">
                                    <set key="showOids" refId="1249" ln="0" eid="DimensionOid"/>
                                    <b key="allValues">S</b>
                                  </be>
                                </val>
                                <key>
                                  <s>534345-45-5350424447--50-</s>
                                </key>
                                <val>
                                  <be refId="1250" clsId="ParameterValuesVisibilities">
                                    <set key="showOids" refId="1251" ln="0" eid="DimensionOid"/>
                                    <b key="allValues">S</b>
                                  </be>
                                </val>
                              </m>
                              <l key="AreaNames" refId="1252" ln="0" eid="ProspParametro"/>
                              <m key="AdHocParameters" refId="1253"/>
                              <m key="AdHocVisibilities" refId="1254"/>
                            </be>
                          </be>
                          <e key="valuelessParamMode" refId="1255" id="ValuelessParamMode">1</e>
                        </be>
                        <s key="actionDescriptorCode">OPEN</s>
                        <cust key="id" clsId="FilterOid">2</cust>
                        <b key="leaf">N</b>
                        <i key="index">0</i>
                        <ref key="parent" refId="1217"/>
                      </be>
                    </l>
                  </be>
                </be>
              </val>
            </m>
            <l key="areas" refId="1256" ln="1" eid="SYS_STR">
              <s>BOOK</s>
            </l>
            <l key="charts" refId="1257" ln="2" eid="SYS_STR">
              <s>Chart 2</s>
              <s>Chart 5</s>
            </l>
            <l key="pivots" refId="1258" ln="0" eid="SYS_STR"/>
          </be>
        </val>
        <key>
          <s>Template01</s>
        </key>
        <val>
          <be refId="1259" clsId="ReportTemplateVO">
            <s key="code">Template01</s>
            <s key="desc">CF</s>
            <m key="matrices" refId="1260" keid="SYS_STR" veid="Reporting.com.tagetik.tables.IMatrixPositionBlockVO,Reporting">
              <key>
                <s>CASH FLOW</s>
              </key>
              <val>
                <be refId="1261" clsId="MatrixPositionBlockVO">
                  <s key="positionID">CASH FLOW</s>
                  <be key="rows" refId="1262" clsId="FilterNode">
                    <l key="dimensionOids" refId="1263" ln="0" eid="DimensionOid"/>
                    <l key="AdHocParamDimensionOids" refId="1264" ln="0" eid="DimensionOid"/>
                    <be key="data" refId="1265" clsId="FilterNodeData">
                      <be key="filterNode" refId="1266" clsId="FilterNode">
                        <l key="dimensionOids" refId="1267" ln="0" eid="DimensionOid"/>
                        <l key="AdHocParamDimensionOids" refId="1268" ln="0" eid="DimensionOid"/>
                        <be key="data" refId="1269" clsId="FilterNodeData">
                          <ref key="filterNode" refId="1266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i key="index">0</i>
                        <l key="children" refId="1271" ln="0" eid="Framework.com.tagetik.trees.INode,framework"/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12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1273" ln="90" eid="Framework.com.tagetik.trees.INode,framework">
                      <be refId="1274" clsId="FilterNode">
                        <l key="dimensionOids" refId="1275" ln="1" eid="DimensionOid">
                          <cust clsId="DimensionOid">564F43-45-31303532302D303130-3033357C3130303130---53-45</cust>
                        </l>
                        <l key="AdHocParamDimensionOids" refId="1276" ln="0" eid="DimensionOid"/>
                        <be key="data" refId="1277" clsId="FilterNodeData">
                          <ref key="filterNode" refId="127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7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s key="cod"/>
                        <s key="desc"/>
                        <i key="index">0</i>
                        <l key="children" refId="1280" ln="0" eid="Framework.com.tagetik.trees.INode,framework"/>
                        <ref key="parent" refId="1262"/>
                      </be>
                      <be refId="1281" clsId="FilterNode">
                        <l key="dimensionOids" refId="1282" ln="1" eid="DimensionOid">
                          <cust clsId="DimensionOid">564F43-45-31303532352D303130-3033357C3130303130---53-45</cust>
                        </l>
                        <l key="AdHocParamDimensionOids" refId="1283" ln="0" eid="DimensionOid"/>
                        <be key="data" refId="1284" clsId="FilterNodeData">
                          <ref key="filterNode" refId="128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8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1</i>
                        <l key="children" refId="1287" ln="0" eid="Framework.com.tagetik.trees.INode,framework"/>
                        <ref key="parent" refId="1262"/>
                      </be>
                      <be refId="1288" clsId="FilterNode">
                        <l key="dimensionOids" refId="1289" ln="1" eid="DimensionOid">
                          <cust clsId="DimensionOid">564F43-45-31303533302D303130-3033357C3130303130---53-45</cust>
                        </l>
                        <l key="AdHocParamDimensionOids" refId="1290" ln="0" eid="DimensionOid"/>
                        <be key="data" refId="1291" clsId="FilterNodeData">
                          <ref key="filterNode" refId="128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9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2</i>
                        <l key="children" refId="1294" ln="0" eid="Framework.com.tagetik.trees.INode,framework"/>
                        <ref key="parent" refId="1262"/>
                      </be>
                      <be refId="1295" clsId="FilterNode">
                        <l key="dimensionOids" refId="1296" ln="1" eid="DimensionOid">
                          <cust clsId="DimensionOid">564F43-45-31303533352D303130-3033357C3130303130---53-45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3</i>
                        <l key="children" refId="1301" ln="0" eid="Framework.com.tagetik.trees.INode,framework"/>
                        <ref key="parent" refId="1262"/>
                      </be>
                      <be refId="1302" clsId="FilterNode">
                        <l key="dimensionOids" refId="1303" ln="1" eid="DimensionOid">
                          <cust clsId="DimensionOid">564F43-45-32303532302D303130-3033357C3130303130---53-45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0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s key="cod"/>
                        <s key="desc"/>
                        <i key="index">4</i>
                        <l key="children" refId="1308" ln="0" eid="Framework.com.tagetik.trees.INode,framework"/>
                        <ref key="parent" refId="1262"/>
                      </be>
                      <be refId="1309" clsId="FilterNode">
                        <l key="dimensionOids" refId="1310" ln="1" eid="DimensionOid">
                          <cust clsId="DimensionOid">564F43-45-32303532352D303130-3033357C3130303130---53-45</cust>
                        </l>
                        <l key="AdHocParamDimensionOids" refId="1311" ln="0" eid="DimensionOid"/>
                        <be key="data" refId="1312" clsId="FilterNodeData">
                          <ref key="filterNode" refId="130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1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s key="cod"/>
                        <s key="desc"/>
                        <i key="index">5</i>
                        <l key="children" refId="1315" ln="0" eid="Framework.com.tagetik.trees.INode,framework"/>
                        <ref key="parent" refId="1262"/>
                      </be>
                      <be refId="1316" clsId="FilterNode">
                        <l key="dimensionOids" refId="1317" ln="1" eid="DimensionOid">
                          <cust clsId="DimensionOid">564F43-4E-3033357C3130303130----53-45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VOC</s>
                          <i key="segmentLevel">0</i>
                          <ref key="segment" refId="424"/>
                          <be key="reportingFormula" refId="1320" clsId="ReportingFormula">
                            <b key="serverFormula">N</b>
                            <b key="formulaRule">N</b>
                            <s key="formula">SUBTOTAL(9, {3}:{8})</s>
                          </be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s key="cod"/>
                        <s key="desc"/>
                        <i key="index">6</i>
                        <l key="children" refId="1323" ln="0" eid="Framework.com.tagetik.trees.INode,framework"/>
                        <ref key="parent" refId="1262"/>
                      </be>
                      <be refId="1324" clsId="FilterNode">
                        <l key="dimensionOids" refId="1325" ln="1" eid="DimensionOid">
                          <cust clsId="DimensionOid">564F43-45-31303132302D303630-3033357C3130303230---53-45</cust>
                        </l>
                        <l key="AdHocParamDimensionOids" refId="1326" ln="0" eid="DimensionOid"/>
                        <be key="data" refId="1327" clsId="FilterNodeData">
                          <ref key="filterNode" refId="13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7</i>
                        <l key="children" refId="1330" ln="0" eid="Framework.com.tagetik.trees.INode,framework"/>
                        <ref key="parent" refId="1262"/>
                      </be>
                      <be refId="1331" clsId="FilterNode">
                        <l key="dimensionOids" refId="1332" ln="1" eid="DimensionOid">
                          <cust clsId="DimensionOid">564F43-45-31303132312D303630-3033357C3130303230---53-45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s key="cod"/>
                        <s key="desc"/>
                        <i key="index">8</i>
                        <l key="children" refId="1337" ln="0" eid="Framework.com.tagetik.trees.INode,framework"/>
                        <ref key="parent" refId="1262"/>
                      </be>
                      <be refId="1338" clsId="FilterNode">
                        <l key="dimensionOids" refId="1339" ln="1" eid="DimensionOid">
                          <cust clsId="DimensionOid">564F43-45-31303132352D303630-3033357C3130303230---53-45</cust>
                        </l>
                        <l key="AdHocParamDimensionOids" refId="1340" ln="0" eid="DimensionOid"/>
                        <be key="data" refId="1341" clsId="FilterNodeData">
                          <ref key="filterNode" refId="13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/>
                        <s key="desc"/>
                        <i key="index">9</i>
                        <l key="children" refId="1344" ln="0" eid="Framework.com.tagetik.trees.INode,framework"/>
                        <ref key="parent" refId="1262"/>
                      </be>
                      <be refId="1345" clsId="FilterNode">
                        <l key="dimensionOids" refId="1346" ln="1" eid="DimensionOid">
                          <cust clsId="DimensionOid">564F43-45-31303531302D303630-3033357C3130303230---53-45</cust>
                        </l>
                        <l key="AdHocParamDimensionOids" refId="1347" ln="0" eid="DimensionOid"/>
                        <be key="data" refId="1348" clsId="FilterNodeData">
                          <ref key="filterNode" refId="134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4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s key="cod"/>
                        <s key="desc"/>
                        <i key="index">10</i>
                        <l key="children" refId="1351" ln="0" eid="Framework.com.tagetik.trees.INode,framework"/>
                        <ref key="parent" refId="1262"/>
                      </be>
                      <be refId="1352" clsId="FilterNode">
                        <l key="dimensionOids" refId="1353" ln="1" eid="DimensionOid">
                          <cust clsId="DimensionOid">564F43-45-31303534302D303630-3033357C3130303230---53-45</cust>
                        </l>
                        <l key="AdHocParamDimensionOids" refId="1354" ln="0" eid="DimensionOid"/>
                        <be key="data" refId="1355" clsId="FilterNodeData">
                          <ref key="filterNode" refId="135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5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5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s key="cod"/>
                        <s key="desc"/>
                        <i key="index">11</i>
                        <l key="children" refId="1358" ln="0" eid="Framework.com.tagetik.trees.INode,framework"/>
                        <ref key="parent" refId="1262"/>
                      </be>
                      <be refId="1359" clsId="FilterNode">
                        <l key="dimensionOids" refId="1360" ln="1" eid="DimensionOid">
                          <cust clsId="DimensionOid">564F43-45-3530303130-3033357C3130303230---53-45</cust>
                        </l>
                        <l key="AdHocParamDimensionOids" refId="1361" ln="0" eid="DimensionOid"/>
                        <be key="data" refId="1362" clsId="FilterNodeData">
                          <ref key="filterNode" refId="135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6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6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s key="cod"/>
                        <s key="desc"/>
                        <i key="index">12</i>
                        <l key="children" refId="1365" ln="0" eid="Framework.com.tagetik.trees.INode,framework"/>
                        <ref key="parent" refId="1262"/>
                      </be>
                      <be refId="1366" clsId="FilterNode">
                        <l key="dimensionOids" refId="1367" ln="1" eid="DimensionOid">
                          <cust clsId="DimensionOid">564F43-45-3530303230-3033357C3130303230---53-45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/>
                        <s key="desc"/>
                        <i key="index">13</i>
                        <l key="children" refId="1372" ln="0" eid="Framework.com.tagetik.trees.INode,framework"/>
                        <ref key="parent" refId="1262"/>
                      </be>
                      <be refId="1373" clsId="FilterNode">
                        <l key="dimensionOids" refId="1374" ln="1" eid="DimensionOid">
                          <cust clsId="DimensionOid">564F43-45-3530343330-3033357C3130303230---53-45</cust>
                        </l>
                        <l key="AdHocParamDimensionOids" refId="1375" ln="0" eid="DimensionOid"/>
                        <be key="data" refId="1376" clsId="FilterNodeData">
                          <ref key="filterNode" refId="137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7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s key="cod"/>
                        <s key="desc"/>
                        <i key="index">14</i>
                        <l key="children" refId="1379" ln="0" eid="Framework.com.tagetik.trees.INode,framework"/>
                        <ref key="parent" refId="1262"/>
                      </be>
                      <be refId="1380" clsId="FilterNode">
                        <l key="dimensionOids" refId="1381" ln="1" eid="DimensionOid">
                          <cust clsId="DimensionOid">564F43-45-3530343530-3033357C3130303230---53-45</cust>
                        </l>
                        <l key="AdHocParamDimensionOids" refId="1382" ln="0" eid="DimensionOid"/>
                        <be key="data" refId="1383" clsId="FilterNodeData">
                          <ref key="filterNode" refId="138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8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8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/>
                        <s key="desc"/>
                        <i key="index">15</i>
                        <l key="children" refId="1386" ln="0" eid="Framework.com.tagetik.trees.INode,framework"/>
                        <ref key="parent" refId="1262"/>
                      </be>
                      <be refId="1387" clsId="FilterNode">
                        <l key="dimensionOids" refId="1388" ln="1" eid="DimensionOid">
                          <cust clsId="DimensionOid">564F43-45-3530343535-3033357C3130303230---53-45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9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19</cust>
                        <s key="cod"/>
                        <s key="desc"/>
                        <i key="index">16</i>
                        <l key="children" refId="1393" ln="0" eid="Framework.com.tagetik.trees.INode,framework"/>
                        <ref key="parent" refId="1262"/>
                      </be>
                      <be refId="1394" clsId="FilterNode">
                        <l key="dimensionOids" refId="1395" ln="1" eid="DimensionOid">
                          <cust clsId="DimensionOid">564F43-4E-3033357C3130303230----53-45</cust>
                        </l>
                        <l key="AdHocParamDimensionOids" refId="1396" ln="0" eid="DimensionOid"/>
                        <be key="data" refId="1397" clsId="FilterNodeData">
                          <ref key="filterNode" refId="1394"/>
                          <s key="dim">VOC</s>
                          <i key="segmentLevel">0</i>
                          <ref key="segment" refId="424"/>
                          <be key="reportingFormula" refId="1398" clsId="ReportingFormula">
                            <b key="serverFormula">N</b>
                            <b key="formulaRule">N</b>
                            <s key="formula">SUBTOTAL(9, {10}:{19})</s>
                          </be>
                          <b key="placeHolder">N</b>
                          <ref key="weight" refId="18"/>
                          <be key="textMatchingCondition" refId="139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/>
                        <s key="desc"/>
                        <i key="index">17</i>
                        <l key="children" refId="1401" ln="0" eid="Framework.com.tagetik.trees.INode,framework"/>
                        <ref key="parent" refId="1262"/>
                      </be>
                      <be refId="1402" clsId="FilterNode">
                        <l key="dimensionOids" refId="1403" ln="1" eid="DimensionOid">
                          <cust clsId="DimensionOid">564F43-45-32303031302D303230-3033357C3130303330---53-45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21</cust>
                        <s key="cod"/>
                        <s key="desc"/>
                        <i key="index">18</i>
                        <l key="children" refId="1408" ln="0" eid="Framework.com.tagetik.trees.INode,framework"/>
                        <ref key="parent" refId="1262"/>
                      </be>
                      <be refId="1409" clsId="FilterNode">
                        <l key="dimensionOids" refId="1410" ln="1" eid="DimensionOid">
                          <cust clsId="DimensionOid">564F43-45-32303032302D303230-3033357C3130303330---53-45</cust>
                        </l>
                        <l key="AdHocParamDimensionOids" refId="1411" ln="0" eid="DimensionOid"/>
                        <be key="data" refId="1412" clsId="FilterNodeData">
                          <ref key="filterNode" refId="140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1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22</cust>
                        <s key="cod"/>
                        <s key="desc"/>
                        <i key="index">19</i>
                        <l key="children" refId="1415" ln="0" eid="Framework.com.tagetik.trees.INode,framework"/>
                        <ref key="parent" refId="1262"/>
                      </be>
                      <be refId="1416" clsId="FilterNode">
                        <l key="dimensionOids" refId="1417" ln="1" eid="DimensionOid">
                          <cust clsId="DimensionOid">564F43-45-32303131302D303630-3033357C3130303330---53-45</cust>
                        </l>
                        <l key="AdHocParamDimensionOids" refId="1418" ln="0" eid="DimensionOid"/>
                        <be key="data" refId="1419" clsId="FilterNodeData">
                          <ref key="filterNode" refId="141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2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2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23</cust>
                        <s key="cod"/>
                        <s key="desc"/>
                        <i key="index">20</i>
                        <l key="children" refId="1422" ln="0" eid="Framework.com.tagetik.trees.INode,framework"/>
                        <ref key="parent" refId="1262"/>
                      </be>
                      <be refId="1423" clsId="FilterNode">
                        <l key="dimensionOids" refId="1424" ln="1" eid="DimensionOid">
                          <cust clsId="DimensionOid">564F43-45-32303131352D303630-3033357C3130303330---53-45</cust>
                        </l>
                        <l key="AdHocParamDimensionOids" refId="1425" ln="0" eid="DimensionOid"/>
                        <be key="data" refId="1426" clsId="FilterNodeData">
                          <ref key="filterNode" refId="142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2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2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24</cust>
                        <s key="cod"/>
                        <s key="desc"/>
                        <i key="index">21</i>
                        <l key="children" refId="1429" ln="0" eid="Framework.com.tagetik.trees.INode,framework"/>
                        <ref key="parent" refId="1262"/>
                      </be>
                      <be refId="1430" clsId="FilterNode">
                        <l key="dimensionOids" refId="1431" ln="1" eid="DimensionOid">
                          <cust clsId="DimensionOid">564F43-45-32303132302D303630-3033357C3130303330---53-45</cust>
                        </l>
                        <l key="AdHocParamDimensionOids" refId="1432" ln="0" eid="DimensionOid"/>
                        <be key="data" refId="1433" clsId="FilterNodeData">
                          <ref key="filterNode" refId="143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3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3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25</cust>
                        <s key="cod"/>
                        <s key="desc"/>
                        <i key="index">22</i>
                        <l key="children" refId="1436" ln="0" eid="Framework.com.tagetik.trees.INode,framework"/>
                        <ref key="parent" refId="1262"/>
                      </be>
                      <be refId="1437" clsId="FilterNode">
                        <l key="dimensionOids" refId="1438" ln="1" eid="DimensionOid">
                          <cust clsId="DimensionOid">564F43-45-32303132352D303630-3033357C3130303330---53-45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4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26</cust>
                        <s key="cod"/>
                        <s key="desc"/>
                        <i key="index">23</i>
                        <l key="children" refId="1443" ln="0" eid="Framework.com.tagetik.trees.INode,framework"/>
                        <ref key="parent" refId="1262"/>
                      </be>
                      <be refId="1444" clsId="FilterNode">
                        <l key="dimensionOids" refId="1445" ln="1" eid="DimensionOid">
                          <cust clsId="DimensionOid">564F43-45-32303134302D303630-3033357C3130303330---53-45</cust>
                        </l>
                        <l key="AdHocParamDimensionOids" refId="1446" ln="0" eid="DimensionOid"/>
                        <be key="data" refId="1447" clsId="FilterNodeData">
                          <ref key="filterNode" refId="144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4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27</cust>
                        <s key="cod"/>
                        <s key="desc"/>
                        <i key="index">24</i>
                        <l key="children" refId="1450" ln="0" eid="Framework.com.tagetik.trees.INode,framework"/>
                        <ref key="parent" refId="1262"/>
                      </be>
                      <be refId="1451" clsId="FilterNode">
                        <l key="dimensionOids" refId="1452" ln="1" eid="DimensionOid">
                          <cust clsId="DimensionOid">564F43-45-32303231302D303530-3033357C3130303330---53-45</cust>
                        </l>
                        <l key="AdHocParamDimensionOids" refId="1453" ln="0" eid="DimensionOid"/>
                        <be key="data" refId="1454" clsId="FilterNodeData">
                          <ref key="filterNode" refId="145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5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5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28</cust>
                        <s key="cod"/>
                        <s key="desc"/>
                        <i key="index">25</i>
                        <l key="children" refId="1457" ln="0" eid="Framework.com.tagetik.trees.INode,framework"/>
                        <ref key="parent" refId="1262"/>
                      </be>
                      <be refId="1458" clsId="FilterNode">
                        <l key="dimensionOids" refId="1459" ln="1" eid="DimensionOid">
                          <cust clsId="DimensionOid">564F43-45-32303232302D303530-3033357C3130303330---53-45</cust>
                        </l>
                        <l key="AdHocParamDimensionOids" refId="1460" ln="0" eid="DimensionOid"/>
                        <be key="data" refId="1461" clsId="FilterNodeData">
                          <ref key="filterNode" refId="145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6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29</cust>
                        <s key="cod"/>
                        <s key="desc"/>
                        <i key="index">26</i>
                        <l key="children" refId="1464" ln="0" eid="Framework.com.tagetik.trees.INode,framework"/>
                        <ref key="parent" refId="1262"/>
                      </be>
                      <be refId="1465" clsId="FilterNode">
                        <l key="dimensionOids" refId="1466" ln="1" eid="DimensionOid">
                          <cust clsId="DimensionOid">564F43-45-32303332302D313030-3033357C3130303330---53-45</cust>
                        </l>
                        <l key="AdHocParamDimensionOids" refId="1467" ln="0" eid="DimensionOid"/>
                        <be key="data" refId="1468" clsId="FilterNodeData">
                          <ref key="filterNode" refId="146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6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30</cust>
                        <s key="cod"/>
                        <s key="desc"/>
                        <i key="index">27</i>
                        <l key="children" refId="1471" ln="0" eid="Framework.com.tagetik.trees.INode,framework"/>
                        <ref key="parent" refId="1262"/>
                      </be>
                      <be refId="1472" clsId="FilterNode">
                        <l key="dimensionOids" refId="1473" ln="1" eid="DimensionOid">
                          <cust clsId="DimensionOid">564F43-45-32303431302D303630-3033357C3130303330---53-45</cust>
                        </l>
                        <l key="AdHocParamDimensionOids" refId="1474" ln="0" eid="DimensionOid"/>
                        <be key="data" refId="1475" clsId="FilterNodeData">
                          <ref key="filterNode" refId="147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7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7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31</cust>
                        <s key="cod"/>
                        <s key="desc"/>
                        <i key="index">28</i>
                        <l key="children" refId="1478" ln="0" eid="Framework.com.tagetik.trees.INode,framework"/>
                        <ref key="parent" refId="1262"/>
                      </be>
                      <be refId="1479" clsId="FilterNode">
                        <l key="dimensionOids" refId="1480" ln="1" eid="DimensionOid">
                          <cust clsId="DimensionOid">564F43-45-32303432302D303630-3033357C3130303330---53-45</cust>
                        </l>
                        <l key="AdHocParamDimensionOids" refId="1481" ln="0" eid="DimensionOid"/>
                        <be key="data" refId="1482" clsId="FilterNodeData">
                          <ref key="filterNode" refId="147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8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32</cust>
                        <s key="cod"/>
                        <s key="desc"/>
                        <i key="index">29</i>
                        <l key="children" refId="1485" ln="0" eid="Framework.com.tagetik.trees.INode,framework"/>
                        <ref key="parent" refId="1262"/>
                      </be>
                      <be refId="1486" clsId="FilterNode">
                        <l key="dimensionOids" refId="1487" ln="1" eid="DimensionOid">
                          <cust clsId="DimensionOid">564F43-45-32303531302D303630-3033357C3130303330---53-45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33</cust>
                        <s key="cod"/>
                        <s key="desc"/>
                        <i key="index">30</i>
                        <l key="children" refId="1492" ln="0" eid="Framework.com.tagetik.trees.INode,framework"/>
                        <ref key="parent" refId="1262"/>
                      </be>
                      <be refId="1493" clsId="FilterNode">
                        <l key="dimensionOids" refId="1494" ln="1" eid="DimensionOid">
                          <cust clsId="DimensionOid">564F43-45-3530313130-3033357C3130303330---53-45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34</cust>
                        <s key="cod"/>
                        <s key="desc"/>
                        <i key="index">31</i>
                        <l key="children" refId="1499" ln="0" eid="Framework.com.tagetik.trees.INode,framework"/>
                        <ref key="parent" refId="1262"/>
                      </be>
                      <be refId="1500" clsId="FilterNode">
                        <l key="dimensionOids" refId="1501" ln="1" eid="DimensionOid">
                          <cust clsId="DimensionOid">564F43-45-3530323130-3033357C3130303330---53-45</cust>
                        </l>
                        <l key="AdHocParamDimensionOids" refId="1502" ln="0" eid="DimensionOid"/>
                        <be key="data" refId="1503" clsId="FilterNodeData">
                          <ref key="filterNode" refId="150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0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35</cust>
                        <s key="cod"/>
                        <s key="desc"/>
                        <i key="index">32</i>
                        <l key="children" refId="1506" ln="0" eid="Framework.com.tagetik.trees.INode,framework"/>
                        <ref key="parent" refId="1262"/>
                      </be>
                      <be refId="1507" clsId="FilterNode">
                        <l key="dimensionOids" refId="1508" ln="1" eid="DimensionOid">
                          <cust clsId="DimensionOid">564F43-45-3530323230-3033357C3130303330---53-45</cust>
                        </l>
                        <l key="AdHocParamDimensionOids" refId="1509" ln="0" eid="DimensionOid"/>
                        <be key="data" refId="1510" clsId="FilterNodeData">
                          <ref key="filterNode" refId="150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1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36</cust>
                        <s key="cod"/>
                        <s key="desc"/>
                        <i key="index">33</i>
                        <l key="children" refId="1513" ln="0" eid="Framework.com.tagetik.trees.INode,framework"/>
                        <ref key="parent" refId="1262"/>
                      </be>
                      <be refId="1514" clsId="FilterNode">
                        <l key="dimensionOids" refId="1515" ln="1" eid="DimensionOid">
                          <cust clsId="DimensionOid">564F43-45-3530333030-3033357C3130303330---53-45</cust>
                        </l>
                        <l key="AdHocParamDimensionOids" refId="1516" ln="0" eid="DimensionOid"/>
                        <be key="data" refId="1517" clsId="FilterNodeData">
                          <ref key="filterNode" refId="151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1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37</cust>
                        <s key="cod"/>
                        <s key="desc"/>
                        <i key="index">34</i>
                        <l key="children" refId="1520" ln="0" eid="Framework.com.tagetik.trees.INode,framework"/>
                        <ref key="parent" refId="1262"/>
                      </be>
                      <be refId="1521" clsId="FilterNode">
                        <l key="dimensionOids" refId="1522" ln="1" eid="DimensionOid">
                          <cust clsId="DimensionOid">564F43-45-3530333130-3033357C3130303330---53-45</cust>
                        </l>
                        <l key="AdHocParamDimensionOids" refId="1523" ln="0" eid="DimensionOid"/>
                        <be key="data" refId="1524" clsId="FilterNodeData">
                          <ref key="filterNode" refId="152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2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38</cust>
                        <s key="cod"/>
                        <s key="desc"/>
                        <i key="index">35</i>
                        <l key="children" refId="1527" ln="0" eid="Framework.com.tagetik.trees.INode,framework"/>
                        <ref key="parent" refId="1262"/>
                      </be>
                      <be refId="1528" clsId="FilterNode">
                        <l key="dimensionOids" refId="1529" ln="1" eid="DimensionOid">
                          <cust clsId="DimensionOid">564F43-45-3530333135-3033357C3130303330---53-45</cust>
                        </l>
                        <l key="AdHocParamDimensionOids" refId="1530" ln="0" eid="DimensionOid"/>
                        <be key="data" refId="1531" clsId="FilterNodeData">
                          <ref key="filterNode" refId="152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3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39</cust>
                        <s key="cod"/>
                        <s key="desc"/>
                        <i key="index">36</i>
                        <l key="children" refId="1534" ln="0" eid="Framework.com.tagetik.trees.INode,framework"/>
                        <ref key="parent" refId="1262"/>
                      </be>
                      <be refId="1535" clsId="FilterNode">
                        <l key="dimensionOids" refId="1536" ln="1" eid="DimensionOid">
                          <cust clsId="DimensionOid">564F43-45-3530333230-3033357C3130303330---53-45</cust>
                        </l>
                        <l key="AdHocParamDimensionOids" refId="1537" ln="0" eid="DimensionOid"/>
                        <be key="data" refId="1538" clsId="FilterNodeData">
                          <ref key="filterNode" refId="153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3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40</cust>
                        <s key="cod"/>
                        <s key="desc"/>
                        <i key="index">37</i>
                        <l key="children" refId="1541" ln="0" eid="Framework.com.tagetik.trees.INode,framework"/>
                        <ref key="parent" refId="1262"/>
                      </be>
                      <be refId="1542" clsId="FilterNode">
                        <l key="dimensionOids" refId="1543" ln="1" eid="DimensionOid">
                          <cust clsId="DimensionOid">564F43-45-3530333231-3033357C3130303330---53-45</cust>
                        </l>
                        <l key="AdHocParamDimensionOids" refId="1544" ln="0" eid="DimensionOid"/>
                        <be key="data" refId="1545" clsId="FilterNodeData">
                          <ref key="filterNode" refId="154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4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41</cust>
                        <s key="cod"/>
                        <s key="desc"/>
                        <i key="index">38</i>
                        <l key="children" refId="1548" ln="0" eid="Framework.com.tagetik.trees.INode,framework"/>
                        <ref key="parent" refId="1262"/>
                      </be>
                      <be refId="1549" clsId="FilterNode">
                        <l key="dimensionOids" refId="1550" ln="1" eid="DimensionOid">
                          <cust clsId="DimensionOid">564F43-45-3530333233-3033357C3130303330---53-45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43</cust>
                        <s key="cod"/>
                        <s key="desc"/>
                        <i key="index">40</i>
                        <l key="children" refId="1555" ln="0" eid="Framework.com.tagetik.trees.INode,framework"/>
                        <ref key="parent" refId="1262"/>
                      </be>
                      <be refId="1556" clsId="FilterNode">
                        <l key="dimensionOids" refId="1557" ln="1" eid="DimensionOid">
                          <cust clsId="DimensionOid">564F43-45-3530333234-3033357C3130303330---53-45</cust>
                        </l>
                        <l key="AdHocParamDimensionOids" refId="1558" ln="0" eid="DimensionOid"/>
                        <be key="data" refId="1559" clsId="FilterNodeData">
                          <ref key="filterNode" refId="155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6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44</cust>
                        <s key="cod"/>
                        <s key="desc"/>
                        <i key="index">41</i>
                        <l key="children" refId="1562" ln="0" eid="Framework.com.tagetik.trees.INode,framework"/>
                        <ref key="parent" refId="1262"/>
                      </be>
                      <be refId="1563" clsId="FilterNode">
                        <l key="dimensionOids" refId="1564" ln="1" eid="DimensionOid">
                          <cust clsId="DimensionOid">564F43-45-3530333235-3033357C3130303330---53-45</cust>
                        </l>
                        <l key="AdHocParamDimensionOids" refId="1565" ln="0" eid="DimensionOid"/>
                        <be key="data" refId="1566" clsId="FilterNodeData">
                          <ref key="filterNode" refId="156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6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45</cust>
                        <s key="cod"/>
                        <s key="desc"/>
                        <i key="index">42</i>
                        <l key="children" refId="1569" ln="0" eid="Framework.com.tagetik.trees.INode,framework"/>
                        <ref key="parent" refId="1262"/>
                      </be>
                      <be refId="1570" clsId="FilterNode">
                        <l key="dimensionOids" refId="1571" ln="1" eid="DimensionOid">
                          <cust clsId="DimensionOid">564F43-45-3530333236-3033357C3130303330---53-45</cust>
                        </l>
                        <l key="AdHocParamDimensionOids" refId="1572" ln="0" eid="DimensionOid"/>
                        <be key="data" refId="1573" clsId="FilterNodeData">
                          <ref key="filterNode" refId="157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7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46</cust>
                        <s key="cod"/>
                        <s key="desc"/>
                        <i key="index">43</i>
                        <l key="children" refId="1576" ln="0" eid="Framework.com.tagetik.trees.INode,framework"/>
                        <ref key="parent" refId="1262"/>
                      </be>
                      <be refId="1577" clsId="FilterNode">
                        <l key="dimensionOids" refId="1578" ln="1" eid="DimensionOid">
                          <cust clsId="DimensionOid">564F43-45-3530333237-3033357C3130303330---53-45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47</cust>
                        <s key="cod"/>
                        <s key="desc"/>
                        <i key="index">44</i>
                        <l key="children" refId="1583" ln="0" eid="Framework.com.tagetik.trees.INode,framework"/>
                        <ref key="parent" refId="1262"/>
                      </be>
                      <be refId="1584" clsId="FilterNode">
                        <l key="dimensionOids" refId="1585" ln="1" eid="DimensionOid">
                          <cust clsId="DimensionOid">564F43-45-3530333239-3033357C3130303330---53-45</cust>
                        </l>
                        <l key="AdHocParamDimensionOids" refId="1586" ln="0" eid="DimensionOid"/>
                        <be key="data" refId="1587" clsId="FilterNodeData">
                          <ref key="filterNode" refId="158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8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48</cust>
                        <s key="cod"/>
                        <s key="desc"/>
                        <i key="index">45</i>
                        <l key="children" refId="1590" ln="0" eid="Framework.com.tagetik.trees.INode,framework"/>
                        <ref key="parent" refId="1262"/>
                      </be>
                      <be refId="1591" clsId="FilterNode">
                        <l key="dimensionOids" refId="1592" ln="1" eid="DimensionOid">
                          <cust clsId="DimensionOid">564F43-45-3530333330-3033357C3130303330---53-45</cust>
                        </l>
                        <l key="AdHocParamDimensionOids" refId="1593" ln="0" eid="DimensionOid"/>
                        <be key="data" refId="1594" clsId="FilterNodeData">
                          <ref key="filterNode" refId="159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9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49</cust>
                        <s key="cod"/>
                        <s key="desc"/>
                        <i key="index">46</i>
                        <l key="children" refId="1597" ln="0" eid="Framework.com.tagetik.trees.INode,framework"/>
                        <ref key="parent" refId="1262"/>
                      </be>
                      <be refId="1598" clsId="FilterNode">
                        <l key="dimensionOids" refId="1599" ln="1" eid="DimensionOid">
                          <cust clsId="DimensionOid">564F43-45-3530333331-3033357C3130303330---53-45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50</cust>
                        <s key="cod"/>
                        <s key="desc"/>
                        <i key="index">47</i>
                        <l key="children" refId="1604" ln="0" eid="Framework.com.tagetik.trees.INode,framework"/>
                        <ref key="parent" refId="1262"/>
                      </be>
                      <be refId="1605" clsId="FilterNode">
                        <l key="dimensionOids" refId="1606" ln="1" eid="DimensionOid">
                          <cust clsId="DimensionOid">564F43-45-3530333332-3033357C3130303330---53-45</cust>
                        </l>
                        <l key="AdHocParamDimensionOids" refId="1607" ln="0" eid="DimensionOid"/>
                        <be key="data" refId="1608" clsId="FilterNodeData">
                          <ref key="filterNode" refId="160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0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51</cust>
                        <s key="cod"/>
                        <s key="desc"/>
                        <i key="index">48</i>
                        <l key="children" refId="1611" ln="0" eid="Framework.com.tagetik.trees.INode,framework"/>
                        <ref key="parent" refId="1262"/>
                      </be>
                      <be refId="1612" clsId="FilterNode">
                        <l key="dimensionOids" refId="1613" ln="1" eid="DimensionOid">
                          <cust clsId="DimensionOid">564F43-45-3530333333-3033357C3130303330---53-45</cust>
                        </l>
                        <l key="AdHocParamDimensionOids" refId="1614" ln="0" eid="DimensionOid"/>
                        <be key="data" refId="1615" clsId="FilterNodeData">
                          <ref key="filterNode" refId="161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52</cust>
                        <s key="cod"/>
                        <s key="desc"/>
                        <i key="index">49</i>
                        <l key="children" refId="1618" ln="0" eid="Framework.com.tagetik.trees.INode,framework"/>
                        <ref key="parent" refId="1262"/>
                      </be>
                      <be refId="1619" clsId="FilterNode">
                        <l key="dimensionOids" refId="1620" ln="1" eid="DimensionOid">
                          <cust clsId="DimensionOid">564F43-45-3530333334-3033357C3130303330---53-45</cust>
                        </l>
                        <l key="AdHocParamDimensionOids" refId="1621" ln="0" eid="DimensionOid"/>
                        <be key="data" refId="1622" clsId="FilterNodeData">
                          <ref key="filterNode" refId="16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53</cust>
                        <s key="cod"/>
                        <s key="desc"/>
                        <i key="index">50</i>
                        <l key="children" refId="1625" ln="0" eid="Framework.com.tagetik.trees.INode,framework"/>
                        <ref key="parent" refId="1262"/>
                      </be>
                      <be refId="1626" clsId="FilterNode">
                        <l key="dimensionOids" refId="1627" ln="1" eid="DimensionOid">
                          <cust clsId="DimensionOid">564F43-45-3530333335-3033357C3130303330---53-45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54</cust>
                        <s key="cod"/>
                        <s key="desc"/>
                        <i key="index">51</i>
                        <l key="children" refId="1632" ln="0" eid="Framework.com.tagetik.trees.INode,framework"/>
                        <ref key="parent" refId="1262"/>
                      </be>
                      <be refId="1633" clsId="FilterNode">
                        <l key="dimensionOids" refId="1634" ln="1" eid="DimensionOid">
                          <cust clsId="DimensionOid">564F43-45-3530333430-3033357C3130303330---53-45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55</cust>
                        <s key="cod"/>
                        <s key="desc"/>
                        <i key="index">52</i>
                        <l key="children" refId="1639" ln="0" eid="Framework.com.tagetik.trees.INode,framework"/>
                        <ref key="parent" refId="1262"/>
                      </be>
                      <be refId="1640" clsId="FilterNode">
                        <l key="dimensionOids" refId="1641" ln="1" eid="DimensionOid">
                          <cust clsId="DimensionOid">564F43-45-3530333431-3033357C3130303330---53-45</cust>
                        </l>
                        <l key="AdHocParamDimensionOids" refId="1642" ln="0" eid="DimensionOid"/>
                        <be key="data" refId="1643" clsId="FilterNodeData">
                          <ref key="filterNode" refId="164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4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4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56</cust>
                        <s key="cod"/>
                        <s key="desc"/>
                        <i key="index">53</i>
                        <l key="children" refId="1646" ln="0" eid="Framework.com.tagetik.trees.INode,framework"/>
                        <ref key="parent" refId="1262"/>
                      </be>
                      <be refId="1647" clsId="FilterNode">
                        <l key="dimensionOids" refId="1648" ln="1" eid="DimensionOid">
                          <cust clsId="DimensionOid">564F43-45-3530333432-3033357C3130303330---53-45</cust>
                        </l>
                        <l key="AdHocParamDimensionOids" refId="1649" ln="0" eid="DimensionOid"/>
                        <be key="data" refId="1650" clsId="FilterNodeData">
                          <ref key="filterNode" refId="164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5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57</cust>
                        <s key="cod"/>
                        <s key="desc"/>
                        <i key="index">54</i>
                        <l key="children" refId="1653" ln="0" eid="Framework.com.tagetik.trees.INode,framework"/>
                        <ref key="parent" refId="1262"/>
                      </be>
                      <be refId="1654" clsId="FilterNode">
                        <l key="dimensionOids" refId="1655" ln="1" eid="DimensionOid">
                          <cust clsId="DimensionOid">564F43-45-3530333433-3033357C3130303330---53-45</cust>
                        </l>
                        <l key="AdHocParamDimensionOids" refId="1656" ln="0" eid="DimensionOid"/>
                        <be key="data" refId="1657" clsId="FilterNodeData">
                          <ref key="filterNode" refId="165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58</cust>
                        <s key="cod"/>
                        <s key="desc"/>
                        <i key="index">55</i>
                        <l key="children" refId="1660" ln="0" eid="Framework.com.tagetik.trees.INode,framework"/>
                        <ref key="parent" refId="1262"/>
                      </be>
                      <be refId="1661" clsId="FilterNode">
                        <l key="dimensionOids" refId="1662" ln="1" eid="DimensionOid">
                          <cust clsId="DimensionOid">564F43-45-3530333434-3033357C3130303330---53-45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59</cust>
                        <s key="cod"/>
                        <s key="desc"/>
                        <i key="index">56</i>
                        <l key="children" refId="1667" ln="0" eid="Framework.com.tagetik.trees.INode,framework"/>
                        <ref key="parent" refId="1262"/>
                      </be>
                      <be refId="1668" clsId="FilterNode">
                        <l key="dimensionOids" refId="1669" ln="1" eid="DimensionOid">
                          <cust clsId="DimensionOid">564F43-45-3530333435-3033357C3130303330---53-45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60</cust>
                        <s key="cod"/>
                        <s key="desc"/>
                        <i key="index">57</i>
                        <l key="children" refId="1674" ln="0" eid="Framework.com.tagetik.trees.INode,framework"/>
                        <ref key="parent" refId="1262"/>
                      </be>
                      <be refId="1675" clsId="FilterNode">
                        <l key="dimensionOids" refId="1676" ln="1" eid="DimensionOid">
                          <cust clsId="DimensionOid">564F43-45-3530333530-3033357C3130303330---53-45</cust>
                        </l>
                        <l key="AdHocParamDimensionOids" refId="1677" ln="0" eid="DimensionOid"/>
                        <be key="data" refId="1678" clsId="FilterNodeData">
                          <ref key="filterNode" refId="16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61</cust>
                        <s key="cod"/>
                        <s key="desc"/>
                        <i key="index">58</i>
                        <l key="children" refId="1681" ln="0" eid="Framework.com.tagetik.trees.INode,framework"/>
                        <ref key="parent" refId="1262"/>
                      </be>
                      <be refId="1682" clsId="FilterNode">
                        <l key="dimensionOids" refId="1683" ln="1" eid="DimensionOid">
                          <cust clsId="DimensionOid">564F43-45-3530333630-3033357C3130303330---53-45</cust>
                        </l>
                        <l key="AdHocParamDimensionOids" refId="1684" ln="0" eid="DimensionOid"/>
                        <be key="data" refId="1685" clsId="FilterNodeData">
                          <ref key="filterNode" refId="16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62</cust>
                        <s key="cod"/>
                        <s key="desc"/>
                        <i key="index">59</i>
                        <l key="children" refId="1688" ln="0" eid="Framework.com.tagetik.trees.INode,framework"/>
                        <ref key="parent" refId="1262"/>
                      </be>
                      <be refId="1689" clsId="FilterNode">
                        <l key="dimensionOids" refId="1690" ln="1" eid="DimensionOid">
                          <cust clsId="DimensionOid">564F43-45-3530343430-3033357C3130303330---53-45</cust>
                        </l>
                        <l key="AdHocParamDimensionOids" refId="1691" ln="0" eid="DimensionOid"/>
                        <be key="data" refId="1692" clsId="FilterNodeData">
                          <ref key="filterNode" refId="16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63</cust>
                        <s key="cod"/>
                        <s key="desc"/>
                        <i key="index">60</i>
                        <l key="children" refId="1695" ln="0" eid="Framework.com.tagetik.trees.INode,framework"/>
                        <ref key="parent" refId="1262"/>
                      </be>
                      <be refId="1696" clsId="FilterNode">
                        <l key="dimensionOids" refId="1697" ln="1" eid="DimensionOid">
                          <cust clsId="DimensionOid">564F43-45-3530343435-3033357C3130303330---53-45</cust>
                        </l>
                        <l key="AdHocParamDimensionOids" refId="1698" ln="0" eid="DimensionOid"/>
                        <be key="data" refId="1699" clsId="FilterNodeData">
                          <ref key="filterNode" refId="16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64</cust>
                        <s key="cod"/>
                        <s key="desc"/>
                        <i key="index">61</i>
                        <l key="children" refId="1702" ln="0" eid="Framework.com.tagetik.trees.INode,framework"/>
                        <ref key="parent" refId="1262"/>
                      </be>
                      <be refId="1703" clsId="FilterNode">
                        <l key="dimensionOids" refId="1704" ln="1" eid="DimensionOid">
                          <cust clsId="DimensionOid">564F43-45-3530343630-3033357C3130303330---53-45</cust>
                        </l>
                        <l key="AdHocParamDimensionOids" refId="1705" ln="0" eid="DimensionOid"/>
                        <be key="data" refId="1706" clsId="FilterNodeData">
                          <ref key="filterNode" refId="170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0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65</cust>
                        <s key="cod"/>
                        <s key="desc"/>
                        <i key="index">62</i>
                        <l key="children" refId="1709" ln="0" eid="Framework.com.tagetik.trees.INode,framework"/>
                        <ref key="parent" refId="1262"/>
                      </be>
                      <be refId="1710" clsId="FilterNode">
                        <l key="dimensionOids" refId="1711" ln="1" eid="DimensionOid">
                          <cust clsId="DimensionOid">564F43-45-3530343635-3033357C3130303330---53-45</cust>
                        </l>
                        <l key="AdHocParamDimensionOids" refId="1712" ln="0" eid="DimensionOid"/>
                        <be key="data" refId="1713" clsId="FilterNodeData">
                          <ref key="filterNode" refId="171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1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1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66</cust>
                        <s key="cod"/>
                        <s key="desc"/>
                        <i key="index">63</i>
                        <l key="children" refId="1716" ln="0" eid="Framework.com.tagetik.trees.INode,framework"/>
                        <ref key="parent" refId="1262"/>
                      </be>
                      <be refId="1717" clsId="FilterNode">
                        <l key="dimensionOids" refId="1718" ln="1" eid="DimensionOid">
                          <cust clsId="DimensionOid">564F43-45-3530343730-3033357C3130303330---53-45</cust>
                        </l>
                        <l key="AdHocParamDimensionOids" refId="1719" ln="0" eid="DimensionOid"/>
                        <be key="data" refId="1720" clsId="FilterNodeData">
                          <ref key="filterNode" refId="171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67</cust>
                        <s key="cod"/>
                        <s key="desc"/>
                        <i key="index">64</i>
                        <l key="children" refId="1723" ln="0" eid="Framework.com.tagetik.trees.INode,framework"/>
                        <ref key="parent" refId="1262"/>
                      </be>
                      <be refId="1724" clsId="FilterNode">
                        <l key="dimensionOids" refId="1725" ln="1" eid="DimensionOid">
                          <cust clsId="DimensionOid">564F43-45-3530353130-3033357C3130303330---53-45</cust>
                        </l>
                        <l key="AdHocParamDimensionOids" refId="1726" ln="0" eid="DimensionOid"/>
                        <be key="data" refId="1727" clsId="FilterNodeData">
                          <ref key="filterNode" refId="17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68</cust>
                        <s key="cod"/>
                        <s key="desc"/>
                        <i key="index">65</i>
                        <l key="children" refId="1730" ln="0" eid="Framework.com.tagetik.trees.INode,framework"/>
                        <ref key="parent" refId="1262"/>
                      </be>
                      <be refId="1731" clsId="FilterNode">
                        <l key="dimensionOids" refId="1732" ln="1" eid="DimensionOid">
                          <cust clsId="DimensionOid">564F43-45-3530363131-3033357C3130303330---53-45</cust>
                        </l>
                        <l key="AdHocParamDimensionOids" refId="1733" ln="0" eid="DimensionOid"/>
                        <be key="data" refId="1734" clsId="FilterNodeData">
                          <ref key="filterNode" refId="17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69</cust>
                        <s key="cod"/>
                        <s key="desc"/>
                        <i key="index">66</i>
                        <l key="children" refId="1737" ln="0" eid="Framework.com.tagetik.trees.INode,framework"/>
                        <ref key="parent" refId="1262"/>
                      </be>
                      <be refId="1738" clsId="FilterNode">
                        <l key="dimensionOids" refId="1739" ln="1" eid="DimensionOid">
                          <cust clsId="DimensionOid">564F43-45-3530363132-3033357C3130303330---53-45</cust>
                        </l>
                        <l key="AdHocParamDimensionOids" refId="1740" ln="0" eid="DimensionOid"/>
                        <be key="data" refId="1741" clsId="FilterNodeData">
                          <ref key="filterNode" refId="17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70</cust>
                        <s key="cod"/>
                        <s key="desc"/>
                        <i key="index">67</i>
                        <l key="children" refId="1744" ln="0" eid="Framework.com.tagetik.trees.INode,framework"/>
                        <ref key="parent" refId="1262"/>
                      </be>
                      <be refId="1745" clsId="FilterNode">
                        <l key="dimensionOids" refId="1746" ln="1" eid="DimensionOid">
                          <cust clsId="DimensionOid">564F43-4E-3033357C3130303330----53-45</cust>
                        </l>
                        <l key="AdHocParamDimensionOids" refId="1747" ln="0" eid="DimensionOid"/>
                        <be key="data" refId="1748" clsId="FilterNodeData">
                          <ref key="filterNode" refId="1745"/>
                          <s key="dim">VOC</s>
                          <i key="segmentLevel">0</i>
                          <ref key="segment" refId="424"/>
                          <be key="reportingFormula" refId="1749" clsId="ReportingFormula">
                            <b key="serverFormula">N</b>
                            <b key="formulaRule">N</b>
                            <s key="formula">SUBTOTAL(9, {21}:{70})</s>
                          </be>
                          <b key="placeHolder">N</b>
                          <ref key="weight" refId="18"/>
                          <be key="textMatchingCondition" refId="175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5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71</cust>
                        <s key="cod"/>
                        <s key="desc"/>
                        <i key="index">68</i>
                        <l key="children" refId="1752" ln="0" eid="Framework.com.tagetik.trees.INode,framework"/>
                        <ref key="parent" refId="1262"/>
                      </be>
                      <be refId="1753" clsId="FilterNode">
                        <l key="dimensionOids" refId="1754" ln="1" eid="DimensionOid">
                          <cust clsId="DimensionOid">564F43-4E-3033357C3130303430----53-45</cust>
                        </l>
                        <l key="AdHocParamDimensionOids" refId="1755" ln="0" eid="DimensionOid"/>
                        <be key="data" refId="1756" clsId="FilterNodeData">
                          <ref key="filterNode" refId="1753"/>
                          <s key="dim">VOC</s>
                          <i key="segmentLevel">0</i>
                          <ref key="segment" refId="424"/>
                          <be key="reportingFormula" refId="1757" clsId="ReportingFormula">
                            <b key="serverFormula">N</b>
                            <b key="formulaRule">N</b>
                            <s key="formula">{20}+{71}</s>
                          </be>
                          <b key="placeHolder">N</b>
                          <ref key="weight" refId="18"/>
                          <be key="textMatchingCondition" refId="17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72</cust>
                        <s key="cod"/>
                        <s key="desc"/>
                        <i key="index">69</i>
                        <l key="children" refId="1760" ln="0" eid="Framework.com.tagetik.trees.INode,framework"/>
                        <ref key="parent" refId="1262"/>
                      </be>
                      <be refId="1761" clsId="FilterNode">
                        <l key="dimensionOids" refId="1762" ln="1" eid="DimensionOid">
                          <cust clsId="DimensionOid">564F43-45-31303031302D303230-3033357C3130303530---53-45</cust>
                        </l>
                        <l key="AdHocParamDimensionOids" refId="1763" ln="0" eid="DimensionOid"/>
                        <be key="data" refId="1764" clsId="FilterNodeData">
                          <ref key="filterNode" refId="17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73</cust>
                        <s key="cod"/>
                        <s key="desc"/>
                        <i key="index">70</i>
                        <l key="children" refId="1767" ln="0" eid="Framework.com.tagetik.trees.INode,framework"/>
                        <ref key="parent" refId="1262"/>
                      </be>
                      <be refId="1768" clsId="FilterNode">
                        <l key="dimensionOids" refId="1769" ln="1" eid="DimensionOid">
                          <cust clsId="DimensionOid">564F43-45-31303032302D303230-3033357C3130303530---53-45</cust>
                        </l>
                        <l key="AdHocParamDimensionOids" refId="1770" ln="0" eid="DimensionOid"/>
                        <be key="data" refId="1771" clsId="FilterNodeData">
                          <ref key="filterNode" refId="17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74</cust>
                        <s key="cod"/>
                        <s key="desc"/>
                        <i key="index">71</i>
                        <l key="children" refId="1774" ln="0" eid="Framework.com.tagetik.trees.INode,framework"/>
                        <ref key="parent" refId="1262"/>
                      </be>
                      <be refId="1775" clsId="FilterNode">
                        <l key="dimensionOids" refId="1776" ln="1" eid="DimensionOid">
                          <cust clsId="DimensionOid">564F43-45-31303033302D303630-3033357C3130303530---53-45</cust>
                        </l>
                        <l key="AdHocParamDimensionOids" refId="1777" ln="0" eid="DimensionOid"/>
                        <be key="data" refId="1778" clsId="FilterNodeData">
                          <ref key="filterNode" refId="17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75</cust>
                        <s key="cod"/>
                        <s key="desc"/>
                        <i key="index">72</i>
                        <l key="children" refId="1781" ln="0" eid="Framework.com.tagetik.trees.INode,framework"/>
                        <ref key="parent" refId="1262"/>
                      </be>
                      <be refId="1782" clsId="FilterNode">
                        <l key="dimensionOids" refId="1783" ln="1" eid="DimensionOid">
                          <cust clsId="DimensionOid">564F43-45-31303034302D333830-3033357C3130303530---53-45</cust>
                        </l>
                        <l key="AdHocParamDimensionOids" refId="1784" ln="0" eid="DimensionOid"/>
                        <be key="data" refId="1785" clsId="FilterNodeData">
                          <ref key="filterNode" refId="17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76</cust>
                        <s key="cod"/>
                        <s key="desc"/>
                        <i key="index">73</i>
                        <l key="children" refId="1788" ln="0" eid="Framework.com.tagetik.trees.INode,framework"/>
                        <ref key="parent" refId="1262"/>
                      </be>
                      <be refId="1789" clsId="FilterNode">
                        <l key="dimensionOids" refId="1790" ln="1" eid="DimensionOid">
                          <cust clsId="DimensionOid">564F43-45-31303035302D343730-3033357C3130303530---53-45</cust>
                        </l>
                        <l key="AdHocParamDimensionOids" refId="1791" ln="0" eid="DimensionOid"/>
                        <be key="data" refId="1792" clsId="FilterNodeData">
                          <ref key="filterNode" refId="17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77</cust>
                        <s key="cod"/>
                        <s key="desc"/>
                        <i key="index">74</i>
                        <l key="children" refId="1795" ln="0" eid="Framework.com.tagetik.trees.INode,framework"/>
                        <ref key="parent" refId="1262"/>
                      </be>
                      <be refId="1796" clsId="FilterNode">
                        <l key="dimensionOids" refId="1797" ln="1" eid="DimensionOid">
                          <cust clsId="DimensionOid">564F43-45-31303535302D343730-3033357C3130303530---53-45</cust>
                        </l>
                        <l key="AdHocParamDimensionOids" refId="1798" ln="0" eid="DimensionOid"/>
                        <be key="data" refId="1799" clsId="FilterNodeData">
                          <ref key="filterNode" refId="17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78</cust>
                        <s key="cod"/>
                        <s key="desc"/>
                        <i key="index">75</i>
                        <l key="children" refId="1802" ln="0" eid="Framework.com.tagetik.trees.INode,framework"/>
                        <ref key="parent" refId="1262"/>
                      </be>
                      <be refId="1803" clsId="FilterNode">
                        <l key="dimensionOids" refId="1804" ln="1" eid="DimensionOid">
                          <cust clsId="DimensionOid">564F43-4E-3033357C3130303530----53-45</cust>
                        </l>
                        <l key="AdHocParamDimensionOids" refId="1805" ln="0" eid="DimensionOid"/>
                        <be key="data" refId="1806" clsId="FilterNodeData">
                          <ref key="filterNode" refId="1803"/>
                          <s key="dim">VOC</s>
                          <i key="segmentLevel">0</i>
                          <ref key="segment" refId="424"/>
                          <be key="reportingFormula" refId="1807" clsId="ReportingFormula">
                            <b key="serverFormula">N</b>
                            <b key="formulaRule">N</b>
                            <s key="formula">SUBTOTAL(9, {73}:{78})</s>
                          </be>
                          <b key="placeHolder">N</b>
                          <ref key="weight" refId="18"/>
                          <be key="textMatchingCondition" refId="180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0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79</cust>
                        <s key="cod"/>
                        <s key="desc"/>
                        <i key="index">76</i>
                        <l key="children" refId="1810" ln="0" eid="Framework.com.tagetik.trees.INode,framework"/>
                        <ref key="parent" refId="1262"/>
                      </be>
                      <be refId="1811" clsId="FilterNode">
                        <l key="dimensionOids" refId="1812" ln="1" eid="DimensionOid">
                          <cust clsId="DimensionOid">564F43-4E-3033357C3130303630----53-45</cust>
                        </l>
                        <l key="AdHocParamDimensionOids" refId="1813" ln="0" eid="DimensionOid"/>
                        <be key="data" refId="1814" clsId="FilterNodeData">
                          <ref key="filterNode" refId="1811"/>
                          <s key="dim">VOC</s>
                          <i key="segmentLevel">0</i>
                          <ref key="segment" refId="424"/>
                          <be key="reportingFormula" refId="1815" clsId="ReportingFormula">
                            <b key="serverFormula">N</b>
                            <b key="formulaRule">N</b>
                            <s key="formula">{72}+{79}</s>
                          </be>
                          <b key="placeHolder">N</b>
                          <ref key="weight" refId="18"/>
                          <be key="textMatchingCondition" refId="18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80</cust>
                        <s key="cod"/>
                        <s key="desc"/>
                        <i key="index">77</i>
                        <l key="children" refId="1818" ln="0" eid="Framework.com.tagetik.trees.INode,framework"/>
                        <ref key="parent" refId="1262"/>
                      </be>
                      <be refId="1819" clsId="FilterNode">
                        <l key="dimensionOids" refId="1820" ln="1" eid="DimensionOid">
                          <cust clsId="DimensionOid">564F43-45-31303031302D303330-3033357C3130303730---53-45</cust>
                        </l>
                        <l key="AdHocParamDimensionOids" refId="1821" ln="0" eid="DimensionOid"/>
                        <be key="data" refId="1822" clsId="FilterNodeData">
                          <ref key="filterNode" refId="18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81</cust>
                        <s key="cod"/>
                        <s key="desc"/>
                        <i key="index">78</i>
                        <l key="children" refId="1825" ln="0" eid="Framework.com.tagetik.trees.INode,framework"/>
                        <ref key="parent" refId="1262"/>
                      </be>
                      <be refId="1826" clsId="FilterNode">
                        <l key="dimensionOids" refId="1827" ln="1" eid="DimensionOid">
                          <cust clsId="DimensionOid">564F43-45-31303032302D303330-3033357C3130303730---53-45</cust>
                        </l>
                        <l key="AdHocParamDimensionOids" refId="1828" ln="0" eid="DimensionOid"/>
                        <be key="data" refId="1829" clsId="FilterNodeData">
                          <ref key="filterNode" refId="182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3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82</cust>
                        <s key="cod"/>
                        <s key="desc"/>
                        <i key="index">79</i>
                        <l key="children" refId="1832" ln="0" eid="Framework.com.tagetik.trees.INode,framework"/>
                        <ref key="parent" refId="1262"/>
                      </be>
                      <be refId="1833" clsId="FilterNode">
                        <l key="dimensionOids" refId="1834" ln="1" eid="DimensionOid">
                          <cust clsId="DimensionOid">564F43-45-3130313330-3033357C3130303730---53-45</cust>
                        </l>
                        <l key="AdHocParamDimensionOids" refId="1835" ln="0" eid="DimensionOid"/>
                        <be key="data" refId="1836" clsId="FilterNodeData">
                          <ref key="filterNode" refId="183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3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83</cust>
                        <s key="cod"/>
                        <s key="desc"/>
                        <i key="index">80</i>
                        <l key="children" refId="1839" ln="0" eid="Framework.com.tagetik.trees.INode,framework"/>
                        <ref key="parent" refId="1262"/>
                      </be>
                      <be refId="1840" clsId="FilterNode">
                        <l key="dimensionOids" refId="1841" ln="1" eid="DimensionOid">
                          <cust clsId="DimensionOid">564F43-45-31303133302D303630-3033357C3130303730---53-45</cust>
                        </l>
                        <l key="AdHocParamDimensionOids" refId="1842" ln="0" eid="DimensionOid"/>
                        <be key="data" refId="1843" clsId="FilterNodeData">
                          <ref key="filterNode" refId="184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4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4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84</cust>
                        <s key="cod"/>
                        <s key="desc"/>
                        <i key="index">81</i>
                        <l key="children" refId="1846" ln="0" eid="Framework.com.tagetik.trees.INode,framework"/>
                        <ref key="parent" refId="1262"/>
                      </be>
                      <be refId="1847" clsId="FilterNode">
                        <l key="dimensionOids" refId="1848" ln="1" eid="DimensionOid">
                          <cust clsId="DimensionOid">564F43-45-3130313335-3033357C3130303730---53-45</cust>
                        </l>
                        <l key="AdHocParamDimensionOids" refId="1849" ln="0" eid="DimensionOid"/>
                        <be key="data" refId="1850" clsId="FilterNodeData">
                          <ref key="filterNode" refId="184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5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5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85</cust>
                        <s key="cod"/>
                        <s key="desc"/>
                        <i key="index">82</i>
                        <l key="children" refId="1853" ln="0" eid="Framework.com.tagetik.trees.INode,framework"/>
                        <ref key="parent" refId="1262"/>
                      </be>
                      <be refId="1854" clsId="FilterNode">
                        <l key="dimensionOids" refId="1855" ln="1" eid="DimensionOid">
                          <cust clsId="DimensionOid">564F43-45-32303331302D303630-3033357C3130303730---53-45</cust>
                        </l>
                        <l key="AdHocParamDimensionOids" refId="1856" ln="0" eid="DimensionOid"/>
                        <be key="data" refId="1857" clsId="FilterNodeData">
                          <ref key="filterNode" refId="185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86</cust>
                        <s key="cod"/>
                        <s key="desc"/>
                        <i key="index">83</i>
                        <l key="children" refId="1860" ln="0" eid="Framework.com.tagetik.trees.INode,framework"/>
                        <ref key="parent" refId="1262"/>
                      </be>
                      <be refId="1861" clsId="FilterNode">
                        <l key="dimensionOids" refId="1862" ln="1" eid="DimensionOid">
                          <cust clsId="DimensionOid">564F43-45-32303334302D313030-3033357C3130303730---53-45</cust>
                        </l>
                        <l key="AdHocParamDimensionOids" refId="1863" ln="0" eid="DimensionOid"/>
                        <be key="data" refId="1864" clsId="FilterNodeData">
                          <ref key="filterNode" refId="18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87</cust>
                        <s key="cod"/>
                        <s key="desc"/>
                        <i key="index">84</i>
                        <l key="children" refId="1867" ln="0" eid="Framework.com.tagetik.trees.INode,framework"/>
                        <ref key="parent" refId="1262"/>
                      </be>
                      <be refId="1868" clsId="FilterNode">
                        <l key="dimensionOids" refId="1869" ln="1" eid="DimensionOid">
                          <cust clsId="DimensionOid">564F43-45-3530343130-3033357C3130303730---53-45</cust>
                        </l>
                        <l key="AdHocParamDimensionOids" refId="1870" ln="0" eid="DimensionOid"/>
                        <be key="data" refId="1871" clsId="FilterNodeData">
                          <ref key="filterNode" refId="18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88</cust>
                        <s key="cod"/>
                        <s key="desc"/>
                        <i key="index">85</i>
                        <l key="children" refId="1874" ln="0" eid="Framework.com.tagetik.trees.INode,framework"/>
                        <ref key="parent" refId="1262"/>
                      </be>
                      <be refId="1875" clsId="FilterNode">
                        <l key="dimensionOids" refId="1876" ln="1" eid="DimensionOid">
                          <cust clsId="DimensionOid">564F43-45-3530343131-3033357C3130303730---53-45</cust>
                        </l>
                        <l key="AdHocParamDimensionOids" refId="1877" ln="0" eid="DimensionOid"/>
                        <be key="data" refId="1878" clsId="FilterNodeData">
                          <ref key="filterNode" refId="18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89</cust>
                        <s key="cod"/>
                        <s key="desc"/>
                        <i key="index">86</i>
                        <l key="children" refId="1881" ln="0" eid="Framework.com.tagetik.trees.INode,framework"/>
                        <ref key="parent" refId="1262"/>
                      </be>
                      <be refId="1882" clsId="FilterNode">
                        <l key="dimensionOids" refId="1883" ln="1" eid="DimensionOid">
                          <cust clsId="DimensionOid">564F43-45-3530343132-3033357C3130303730---53-45</cust>
                        </l>
                        <l key="AdHocParamDimensionOids" refId="1884" ln="0" eid="DimensionOid"/>
                        <be key="data" refId="1885" clsId="FilterNodeData">
                          <ref key="filterNode" refId="18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90</cust>
                        <s key="cod"/>
                        <s key="desc"/>
                        <i key="index">87</i>
                        <l key="children" refId="1888" ln="0" eid="Framework.com.tagetik.trees.INode,framework"/>
                        <ref key="parent" refId="1262"/>
                      </be>
                      <be refId="1889" clsId="FilterNode">
                        <l key="dimensionOids" refId="1890" ln="1" eid="DimensionOid">
                          <cust clsId="DimensionOid">564F43-45-3530343232-3033357C3130303730---53-45</cust>
                        </l>
                        <l key="AdHocParamDimensionOids" refId="1891" ln="0" eid="DimensionOid"/>
                        <be key="data" refId="1892" clsId="FilterNodeData">
                          <ref key="filterNode" refId="18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91</cust>
                        <s key="cod"/>
                        <s key="desc"/>
                        <i key="index">88</i>
                        <l key="children" refId="1895" ln="0" eid="Framework.com.tagetik.trees.INode,framework"/>
                        <ref key="parent" refId="1262"/>
                      </be>
                      <be refId="1896" clsId="FilterNode">
                        <l key="dimensionOids" refId="1897" ln="1" eid="DimensionOid">
                          <cust clsId="DimensionOid">564F43-4E-3033357C3130303730----53-45</cust>
                        </l>
                        <l key="AdHocParamDimensionOids" refId="1898" ln="0" eid="DimensionOid"/>
                        <be key="data" refId="1899" clsId="FilterNodeData">
                          <ref key="filterNode" refId="1896"/>
                          <s key="dim">VOC</s>
                          <i key="segmentLevel">0</i>
                          <ref key="segment" refId="424"/>
                          <be key="reportingFormula" refId="1900" clsId="ReportingFormula">
                            <b key="serverFormula">N</b>
                            <b key="formulaRule">N</b>
                            <s key="formula">SUBTOTAL(9, {81}:{91})</s>
                          </be>
                          <b key="placeHolder">N</b>
                          <ref key="weight" refId="18"/>
                          <be key="textMatchingCondition" refId="190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9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92</cust>
                        <s key="cod"/>
                        <s key="desc"/>
                        <i key="index">89</i>
                        <l key="children" refId="1903" ln="0" eid="Framework.com.tagetik.trees.INode,framework"/>
                        <ref key="parent" refId="1262"/>
                      </be>
                      <be refId="1904" clsId="FilterNode">
                        <l key="dimensionOids" refId="1905" ln="1" eid="DimensionOid">
                          <cust clsId="DimensionOid">564F43-4E-3033357C3130303830----53-45</cust>
                        </l>
                        <l key="AdHocParamDimensionOids" refId="1906" ln="0" eid="DimensionOid"/>
                        <be key="data" refId="1907" clsId="FilterNodeData">
                          <ref key="filterNode" refId="1904"/>
                          <s key="dim">VOC</s>
                          <i key="segmentLevel">0</i>
                          <ref key="segment" refId="424"/>
                          <be key="reportingFormula" refId="1908" clsId="ReportingFormula">
                            <b key="serverFormula">N</b>
                            <b key="formulaRule">N</b>
                            <s key="formula">{9}+{80}+{92}</s>
                          </be>
                          <b key="placeHolder">N</b>
                          <ref key="weight" refId="18"/>
                          <be key="textMatchingCondition" refId="190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9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93</cust>
                        <s key="cod"/>
                        <s key="desc"/>
                        <i key="index">90</i>
                        <l key="children" refId="1911" ln="0" eid="Framework.com.tagetik.trees.INode,framework"/>
                        <ref key="parent" refId="1262"/>
                      </be>
                    </l>
                  </be>
                  <be key="columns" refId="1912" clsId="FilterNode">
                    <l key="dimensionOids" refId="1913" ln="0" eid="DimensionOid"/>
                    <l key="AdHocParamDimensionOids" refId="1914" ln="0" eid="DimensionOid"/>
                    <be key="data" refId="1915" clsId="FilterNodeData">
                      <be key="filterNode" refId="1916" clsId="FilterNode">
                        <l key="dimensionOids" refId="1917" ln="0" eid="DimensionOid"/>
                        <l key="AdHocParamDimensionOids" refId="1918" ln="0" eid="DimensionOid"/>
                        <be key="data" refId="1919" clsId="FilterNodeData">
                          <ref key="filterNode" refId="1916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Columns</s>
                        <i key="index">0</i>
                        <l key="children" refId="1921" ln="12" eid="Framework.com.tagetik.trees.INode,framework">
                          <be refId="1922" clsId="FilterNode">
                            <l key="dimensionOids" refId="1923" ln="1" eid="DimensionOid">
                              <cust clsId="DimensionOid">504552-45-3031---</cust>
                            </l>
                            <l key="AdHocParamDimensionOids" refId="1924" ln="0" eid="DimensionOid"/>
                            <be key="data" refId="1925" clsId="FilterNodeData">
                              <ref key="filterNode" refId="1922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2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2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s key="cod"/>
                            <s key="desc"/>
                            <i key="index">0</i>
                            <l key="children" refId="1928" ln="0" eid="Framework.com.tagetik.trees.INode,framework"/>
                            <ref key="parent" refId="1916"/>
                          </be>
                          <be refId="1929" clsId="FilterNode">
                            <l key="dimensionOids" refId="1930" ln="1" eid="DimensionOid">
                              <cust clsId="DimensionOid">504552-45-3032---</cust>
                            </l>
                            <l key="AdHocParamDimensionOids" refId="1931" ln="0" eid="DimensionOid"/>
                            <be key="data" refId="1932" clsId="FilterNodeData">
                              <ref key="filterNode" refId="1929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3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3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s key="cod"/>
                            <s key="desc"/>
                            <i key="index">1</i>
                            <l key="children" refId="1935" ln="0" eid="Framework.com.tagetik.trees.INode,framework"/>
                            <ref key="parent" refId="1916"/>
                          </be>
                          <be refId="1936" clsId="FilterNode">
                            <l key="dimensionOids" refId="1937" ln="1" eid="DimensionOid">
                              <cust clsId="DimensionOid">504552-45-3033---</cust>
                            </l>
                            <l key="AdHocParamDimensionOids" refId="1938" ln="0" eid="DimensionOid"/>
                            <be key="data" refId="1939" clsId="FilterNodeData">
                              <ref key="filterNode" refId="1936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4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4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s key="cod"/>
                            <s key="desc"/>
                            <i key="index">2</i>
                            <l key="children" refId="1942" ln="0" eid="Framework.com.tagetik.trees.INode,framework"/>
                            <ref key="parent" refId="1916"/>
                          </be>
                          <be refId="1943" clsId="FilterNode">
                            <l key="dimensionOids" refId="1944" ln="1" eid="DimensionOid">
                              <cust clsId="DimensionOid">504552-45-3034---</cust>
                            </l>
                            <l key="AdHocParamDimensionOids" refId="1945" ln="0" eid="DimensionOid"/>
                            <be key="data" refId="1946" clsId="FilterNodeData">
                              <ref key="filterNode" refId="1943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47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4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s key="cod"/>
                            <s key="desc"/>
                            <i key="index">3</i>
                            <l key="children" refId="1949" ln="0" eid="Framework.com.tagetik.trees.INode,framework"/>
                            <ref key="parent" refId="1916"/>
                          </be>
                          <be refId="1950" clsId="FilterNode">
                            <l key="dimensionOids" refId="1951" ln="1" eid="DimensionOid">
                              <cust clsId="DimensionOid">504552-45-3035---</cust>
                            </l>
                            <l key="AdHocParamDimensionOids" refId="1952" ln="0" eid="DimensionOid"/>
                            <be key="data" refId="1953" clsId="FilterNodeData">
                              <ref key="filterNode" refId="1950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5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5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s key="cod"/>
                            <s key="desc"/>
                            <i key="index">4</i>
                            <l key="children" refId="1956" ln="0" eid="Framework.com.tagetik.trees.INode,framework"/>
                            <ref key="parent" refId="1916"/>
                          </be>
                          <be refId="1957" clsId="FilterNode">
                            <l key="dimensionOids" refId="1958" ln="1" eid="DimensionOid">
                              <cust clsId="DimensionOid">504552-45-3036---</cust>
                            </l>
                            <l key="AdHocParamDimensionOids" refId="1959" ln="0" eid="DimensionOid"/>
                            <be key="data" refId="1960" clsId="FilterNodeData">
                              <ref key="filterNode" refId="1957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6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6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5</i>
                            <l key="children" refId="1963" ln="0" eid="Framework.com.tagetik.trees.INode,framework"/>
                            <ref key="parent" refId="1916"/>
                          </be>
                          <be refId="1964" clsId="FilterNode">
                            <l key="dimensionOids" refId="1965" ln="1" eid="DimensionOid">
                              <cust clsId="DimensionOid">504552-45-3037---</cust>
                            </l>
                            <l key="AdHocParamDimensionOids" refId="1966" ln="0" eid="DimensionOid"/>
                            <be key="data" refId="1967" clsId="FilterNodeData">
                              <ref key="filterNode" refId="1964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6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6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s key="cod"/>
                            <s key="desc"/>
                            <i key="index">6</i>
                            <l key="children" refId="1970" ln="0" eid="Framework.com.tagetik.trees.INode,framework"/>
                            <ref key="parent" refId="1916"/>
                          </be>
                          <be refId="1971" clsId="FilterNode">
                            <l key="dimensionOids" refId="1972" ln="1" eid="DimensionOid">
                              <cust clsId="DimensionOid">504552-45-3038---</cust>
                            </l>
                            <l key="AdHocParamDimensionOids" refId="1973" ln="0" eid="DimensionOid"/>
                            <be key="data" refId="1974" clsId="FilterNodeData">
                              <ref key="filterNode" refId="1971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7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7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16</cust>
                            <s key="cod"/>
                            <s key="desc"/>
                            <i key="index">7</i>
                            <l key="children" refId="1977" ln="0" eid="Framework.com.tagetik.trees.INode,framework"/>
                            <ref key="parent" refId="1916"/>
                          </be>
                          <be refId="1978" clsId="FilterNode">
                            <l key="dimensionOids" refId="1979" ln="1" eid="DimensionOid">
                              <cust clsId="DimensionOid">504552-45-3039---</cust>
                            </l>
                            <l key="AdHocParamDimensionOids" refId="1980" ln="0" eid="DimensionOid"/>
                            <be key="data" refId="1981" clsId="FilterNodeData">
                              <ref key="filterNode" refId="1978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8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8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</cust>
                            <s key="cod"/>
                            <s key="desc"/>
                            <i key="index">8</i>
                            <l key="children" refId="1984" ln="0" eid="Framework.com.tagetik.trees.INode,framework"/>
                            <ref key="parent" refId="1916"/>
                          </be>
                          <be refId="1985" clsId="FilterNode">
                            <l key="dimensionOids" refId="1986" ln="1" eid="DimensionOid">
                              <cust clsId="DimensionOid">504552-45-3130---</cust>
                            </l>
                            <l key="AdHocParamDimensionOids" refId="1987" ln="0" eid="DimensionOid"/>
                            <be key="data" refId="1988" clsId="FilterNodeData">
                              <ref key="filterNode" refId="1985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8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9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</cust>
                            <s key="cod"/>
                            <s key="desc"/>
                            <i key="index">9</i>
                            <l key="children" refId="1991" ln="0" eid="Framework.com.tagetik.trees.INode,framework"/>
                            <ref key="parent" refId="1916"/>
                          </be>
                          <be refId="1992" clsId="FilterNode">
                            <l key="dimensionOids" refId="1993" ln="1" eid="DimensionOid">
                              <cust clsId="DimensionOid">504552-45-3131---</cust>
                            </l>
                            <l key="AdHocParamDimensionOids" refId="1994" ln="0" eid="DimensionOid"/>
                            <be key="data" refId="1995" clsId="FilterNodeData">
                              <ref key="filterNode" refId="1992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9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9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/>
                            <s key="desc"/>
                            <i key="index">10</i>
                            <l key="children" refId="1998" ln="0" eid="Framework.com.tagetik.trees.INode,framework"/>
                            <ref key="parent" refId="1916"/>
                          </be>
                          <be refId="1999" clsId="FilterNode">
                            <l key="dimensionOids" refId="2000" ln="1" eid="DimensionOid">
                              <cust clsId="DimensionOid">504552-45-3132---</cust>
                            </l>
                            <l key="AdHocParamDimensionOids" refId="2001" ln="0" eid="DimensionOid"/>
                            <be key="data" refId="2002" clsId="FilterNodeData">
                              <ref key="filterNode" refId="1999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00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00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24</cust>
                            <s key="cod"/>
                            <s key="desc"/>
                            <i key="index">11</i>
                            <l key="children" refId="2005" ln="0" eid="Framework.com.tagetik.trees.INode,framework"/>
                            <ref key="parent" refId="1916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20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2007" ln="5" eid="Framework.com.tagetik.trees.INode,framework">
                      <be refId="2008" clsId="FilterNode">
                        <l key="dimensionOids" refId="2009" ln="1" eid="DimensionOid">
                          <cust clsId="DimensionOid">534345-45-5350424447--50-</cust>
                        </l>
                        <l key="AdHocParamDimensionOids" refId="2010" ln="0" eid="DimensionOid"/>
                        <be key="data" refId="2011" clsId="FilterNodeData">
                          <ref key="filterNode" refId="2008"/>
                          <s key="dim">SCE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01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1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s key="cod"/>
                        <s key="desc"/>
                        <i key="index">0</i>
                        <l key="children" refId="2014" ln="0" eid="Framework.com.tagetik.trees.INode,framework"/>
                        <ref key="parent" refId="1912"/>
                      </be>
                      <be refId="2015" clsId="FilterNode">
                        <l key="dimensionOids" refId="2016" ln="1" eid="DimensionOid">
                          <cust clsId="DimensionOid">534345-45-5350424447--50-</cust>
                        </l>
                        <l key="AdHocParamDimensionOids" refId="2017" ln="0" eid="DimensionOid"/>
                        <be key="data" refId="2018" clsId="FilterNodeData">
                          <ref key="filterNode" refId="201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20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s key="cod"/>
                        <s key="desc"/>
                        <i key="index">1</i>
                        <l key="children" refId="2021" ln="0" eid="Framework.com.tagetik.trees.INode,framework"/>
                        <ref key="parent" refId="1912"/>
                      </be>
                      <be refId="2022" clsId="FilterNode">
                        <l key="dimensionOids" refId="2023" ln="0" eid="DimensionOid"/>
                        <l key="AdHocParamDimensionOids" refId="2024" ln="0" eid="DimensionOid"/>
                        <be key="data" refId="2025" clsId="FilterNodeData">
                          <ref key="filterNode" refId="2022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0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2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2</i>
                        <l key="children" refId="2028" ln="0" eid="Framework.com.tagetik.trees.INode,framework"/>
                        <ref key="parent" refId="1912"/>
                      </be>
                      <be refId="2029" clsId="FilterNode">
                        <l key="dimensionOids" refId="2030" ln="0" eid="DimensionOid"/>
                        <l key="AdHocParamDimensionOids" refId="2031" ln="0" eid="DimensionOid"/>
                        <be key="data" refId="2032" clsId="FilterNodeData">
                          <ref key="filterNode" refId="2029"/>
                          <s key="dim">SCE</s>
                          <i key="segmentLevel">0</i>
                          <ref key="segment" refId="17"/>
                          <be key="reportingFormula" refId="2033" clsId="ReportingFormula">
                            <b key="serverFormula">N</b>
                            <b key="formulaRule">N</b>
                            <s key="formula">{2}-{3}</s>
                          </be>
                          <be key="dictionaryHeader" refId="2034" clsId="MultiDesc">
                            <a key="desc" refId="2035" ln="4" eid="SYS_STR">
                              <s>Variazione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0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3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3</i>
                        <l key="children" refId="2038" ln="0" eid="Framework.com.tagetik.trees.INode,framework"/>
                        <ref key="parent" refId="1912"/>
                      </be>
                      <be refId="2039" clsId="FilterNode">
                        <l key="dimensionOids" refId="2040" ln="0" eid="DimensionOid"/>
                        <l key="AdHocParamDimensionOids" refId="2041" ln="0" eid="DimensionOid"/>
                        <be key="data" refId="2042" clsId="FilterNodeData">
                          <ref key="filterNode" refId="2039"/>
                          <s key="dim">SCE</s>
                          <i key="segmentLevel">0</i>
                          <ref key="segment" refId="17"/>
                          <be key="reportingFormula" refId="2043" clsId="ReportingFormula">
                            <b key="serverFormula">N</b>
                            <b key="formulaRule">S</b>
                            <s key="formula">if({3}=0, 0, ({2}-{3})/abs({3}))</s>
                          </be>
                          <be key="dictionaryHeader" refId="2044" clsId="MultiDesc">
                            <a key="desc" refId="2045" ln="4" eid="SYS_STR">
                              <s>%</s>
                              <s>%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0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4</i>
                        <l key="children" refId="2048" ln="0" eid="Framework.com.tagetik.trees.INode,framework"/>
                        <ref key="parent" refId="1912"/>
                      </be>
                    </l>
                  </be>
                  <be key="matrixFilters" refId="2049" clsId="FilterNode">
                    <l key="dimensionOids" refId="2050" ln="0" eid="DimensionOid"/>
                    <l key="AdHocParamDimensionOids" refId="2051" ln="0" eid="DimensionOid"/>
                    <be key="data" refId="2052" clsId="FilterNodeData">
                      <ref key="filterNode" refId="2049"/>
                      <i key="segmentLevel">0</i>
                      <ref key="segment" refId="17"/>
                      <b key="placeHolder">N</b>
                      <ref key="weight" refId="18"/>
                      <be key="textMatchingCondition" refId="205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2054" ln="1" eid="Framework.com.tagetik.trees.INode,framework">
                      <be refId="2055" clsId="FilterNode">
                        <l key="dimensionOids" refId="2056" ln="2" eid="DimensionOid">
                          <cust clsId="DimensionOid">544950-45-5449505F4F---</cust>
                          <cust clsId="DimensionOid">544950-45-5449505F4F---</cust>
                        </l>
                        <l key="AdHocParamDimensionOids" refId="2057" ln="0" eid="DimensionOid"/>
                        <be key="data" refId="2058" clsId="FilterNodeData">
                          <ref key="filterNode" refId="2055"/>
                          <s key="dim">TIP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05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6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0</i>
                        <l key="children" refId="2061" ln="1" eid="Framework.com.tagetik.trees.INode,framework">
                          <be refId="2062" clsId="FilterNode">
                            <l key="dimensionOids" refId="2063" ln="1" eid="DimensionOid">
                              <cust clsId="DimensionOid">434154-45-46505F464C---</cust>
                            </l>
                            <l key="AdHocParamDimensionOids" refId="2064" ln="0" eid="DimensionOid"/>
                            <be key="data" refId="2065" clsId="FilterNodeData">
                              <ref key="filterNode" refId="2062"/>
                              <s key="dim">CAT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06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06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0</i>
                            <l key="children" refId="2068" ln="1" eid="Framework.com.tagetik.trees.INode,framework">
                              <be refId="2069" clsId="FilterNode">
                                <l key="dimensionOids" refId="2070" ln="1" eid="DimensionOid">
                                  <cust clsId="DimensionOid">504552-45-3132---</cust>
                                </l>
                                <l key="AdHocParamDimensionOids" refId="2071" ln="0" eid="DimensionOid"/>
                                <be key="data" refId="2072" clsId="FilterNodeData">
                                  <ref key="filterNode" refId="206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07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16</cust>
                                <i key="index">0</i>
                                <ref key="parent" refId="2062"/>
                              </be>
                            </l>
                            <ref key="parent" refId="2055"/>
                          </be>
                        </l>
                        <ref key="parent" refId="2049"/>
                      </be>
                    </l>
                  </be>
                  <be key="rowHeaders" refId="2074" clsId="ReportingHeaders">
                    <m key="headers" refId="2075" keid="SYS_PR_I" veid="System.Collections.IList">
                      <key>
                        <i>-1</i>
                      </key>
                      <val>
                        <l refId="2076" ln="1">
                          <s>$Account.desc</s>
                        </l>
                      </val>
                    </m>
                    <m key="headersDims" refId="207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2078" clsId="ReportingHeaders">
                    <m key="headers" refId="2079" keid="SYS_PR_I" veid="System.Collections.IList">
                      <key>
                        <i>-1</i>
                      </key>
                      <val>
                        <l refId="2080" ln="1">
                          <s>$Scenario.desc</s>
                        </l>
                      </val>
                    </m>
                    <m key="headersDims" refId="2081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982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e key="tipoAllineamentoLordiIC" refId="2082" id="TipoAllineamentoLordiIC">N</e>
                  <set key="forcedDimensions" refId="2083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208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085" ln="0" eid="Reporting.com.tagetik.tables.IMatixCellLeafPositions,Reporting"/>
                  <m key="forcedEditModes" refId="2086" keid="Reporting.com.tagetik.tables.IMatixCellLeafPositions,Reporting" veid="SYS_STR"/>
                  <b key="UseTxlDeFormEditor">N</b>
                  <be key="TxDeFormsEditorDescriptor" refId="2087" clsId="TxDeFormsEditorDescriptor">
                    <l key="Tabs" refId="208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2089" keid="SYS_STR" veid="CodeCellField">
              <key>
                <s>CellField02</s>
              </key>
              <val>
                <be refId="2090" clsId="CodeCellField">
                  <s key="code">CellField02</s>
                  <s key="cellField">
                    CONCATENATE("Run by ",user.desc," on ",report.runDate)
                    <ch cod="0a"/>
                  </s>
                </be>
              </val>
            </m>
            <m key="dictionary" refId="2091" keid="SYS_STR" veid="CodeMultiDescVO"/>
            <m key="controlExpressions" refId="2092" keid="SYS_STR" veid="CodedExpControlloProspetto"/>
            <m key="inlineParameters" refId="2093" keid="SYS_STR" veid="CodedInlineParameter"/>
            <m key="queries" refId="2094" keid="SYS_STR" veid="Reporting.com.tagetik.query.IUserDefinedQueryVO,Reporting"/>
            <be key="sheets" refId="2095" clsId="FilterNode">
              <l key="dimensionOids" refId="2096" ln="0" eid="DimensionOid"/>
              <l key="AdHocParamDimensionOids" refId="2097" ln="0" eid="DimensionOid"/>
              <be key="data" refId="2098" clsId="FilterNodeData">
                <ref key="filterNode" refId="2095"/>
                <i key="segmentLevel">0</i>
                <ref key="segment" refId="424"/>
                <b key="placeHolder">N</b>
                <ref key="weight" refId="18"/>
                <be key="textMatchingCondition" refId="2099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2100" keid="SYS_STR" veid="ElaborationsLauncher"/>
            <m key="actionLists" refId="2101" keid="SYS_STR" veid="Reporting.com.tagetik.actionlist.ISnapshotActionList,Reporting"/>
            <l key="areas" refId="2102" ln="0" eid="SYS_STR"/>
            <l key="charts" refId="2103" ln="0" eid="SYS_STR"/>
            <l key="pivots" refId="2104" ln="0" eid="SYS_STR"/>
          </be>
        </val>
        <key>
          <s>Template04</s>
        </key>
        <val>
          <be refId="2105" clsId="ReportTemplateVO">
            <s key="code">Template04</s>
            <s key="desc">BS</s>
            <m key="matrices" refId="2106" keid="SYS_STR" veid="Reporting.com.tagetik.tables.IMatrixPositionBlockVO,Reporting">
              <key>
                <s>BALANCE SHEET</s>
              </key>
              <val>
                <be refId="2107" clsId="MatrixPositionBlockVO">
                  <s key="positionID">BALANCE SHEET</s>
                  <be key="rows" refId="2108" clsId="FilterNode">
                    <l key="dimensionOids" refId="2109" ln="0" eid="DimensionOid"/>
                    <l key="AdHocParamDimensionOids" refId="2110" ln="0" eid="DimensionOid"/>
                    <be key="data" refId="2111" clsId="FilterNodeData">
                      <ref key="filterNode" refId="2108"/>
                      <i key="segmentLevel">0</i>
                      <ref key="segment" refId="17"/>
                      <b key="placeHolder">N</b>
                      <ref key="weight" refId="18"/>
                      <be key="textMatchingCondition" refId="21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2113" ln="1" eid="Framework.com.tagetik.trees.INode,framework">
                      <be refId="2114" clsId="FilterNode">
                        <l key="dimensionOids" refId="2115" ln="1" eid="DimensionOid">
                          <cust clsId="DimensionOid">564F43-4E-303235----53-53</cust>
                        </l>
                        <l key="AdHocParamDimensionOids" refId="2116" ln="0" eid="DimensionOid"/>
                        <be key="data" refId="2117" clsId="FilterNodeData">
                          <ref key="filterNode" refId="211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dinamico" refId="2118" clsId="ReportingDinamicita">
                            <e key="dynamicType" refId="2119" id="DynamicEnum">AN</e>
                            <b key="withSubtotal">N</b>
                            <b key="isPartecipatedCompany">N</b>
                            <b key="withSubtotalUntilStartingNode">N</b>
                            <b key="detailSubtotal">S</b>
                            <e key="pruning" refId="2120" id="PruningEnum">N</e>
                            <be key="forbiddenChooserCodes" refId="2121" clsId="ForbiddenChooserCodesSet">
                              <set key="codes" refId="2122" ln="5" eid="SYS_STR">
                                <s>ACD2</s>
                                <s>ACD3</s>
                                <s>ACD1</s>
                                <s>FI</s>
                                <s>ACDCP2</s>
                              </set>
                            </be>
                            <i key="addictionalRowsToOpen">100</i>
                            <b key="allowOpenNewElements">N</b>
                          </be>
                          <be key="textMatchingCondition" refId="21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e key="editability" refId="2124" id="EditableEnum">S</e>
                          <b key="signChange">N</b>
                          <b key="nativeSignChange">N</b>
                          <l key="nav" refId="2125" ln="0" eid="ScenarioModifierValue"/>
                          <i key="sco">0</i>
                          <b key="applyFiltersForForcedScenarioPeriodoMap">N</b>
                          <b key="lineSplit">N</b>
                          <s key="adHocStyleSheetId">9</s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89</cust>
                        <s key="cod"/>
                        <s key="desc"/>
                        <i key="index">0</i>
                        <l key="children" refId="2126" ln="0" eid="Framework.com.tagetik.trees.INode,framework"/>
                        <ref key="parent" refId="2108"/>
                      </be>
                    </l>
                  </be>
                  <be key="columns" refId="2127" clsId="FilterNode">
                    <l key="dimensionOids" refId="2128" ln="0" eid="DimensionOid"/>
                    <l key="AdHocParamDimensionOids" refId="2129" ln="0" eid="DimensionOid"/>
                    <be key="data" refId="2130" clsId="FilterNodeData">
                      <ref key="filterNode" refId="2127"/>
                      <i key="segmentLevel">0</i>
                      <ref key="segment" refId="17"/>
                      <b key="placeHolder">N</b>
                      <ref key="weight" refId="18"/>
                      <be key="textMatchingCondition" refId="21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2132" ln="3" eid="Framework.com.tagetik.trees.INode,framework">
                      <be refId="2133" clsId="FilterNode">
                        <l key="dimensionOids" refId="2134" ln="1" eid="DimensionOid">
                          <cust clsId="DimensionOid">534345-45-5350424447--50-</cust>
                        </l>
                        <l key="AdHocParamDimensionOids" refId="2135" ln="0" eid="DimensionOid"/>
                        <be key="data" refId="2136" clsId="FilterNodeData">
                          <ref key="filterNode" refId="2133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138" ln="2" eid="ScenarioModifierValue">
                            <e refId="2139" id="ScenarioModifierValue">RIF1</e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30</cust>
                        <i key="index">0</i>
                        <l key="children" refId="2140" ln="1" eid="Framework.com.tagetik.trees.INode,framework">
                          <be refId="2141" clsId="FilterNode">
                            <l key="dimensionOids" refId="2142" ln="1" eid="DimensionOid">
                              <cust clsId="DimensionOid">504552-45-3132---</cust>
                            </l>
                            <l key="AdHocParamDimensionOids" refId="2143" ln="0" eid="DimensionOid"/>
                            <be key="data" refId="2144" clsId="FilterNodeData">
                              <ref key="filterNode" refId="2141"/>
                              <s key="dim">PER</s>
                              <i key="segmentLevel">0</i>
                              <ref key="segment" refId="17"/>
                              <be key="dictionaryHeader" refId="2145" clsId="MultiDesc">
                                <a key="desc" refId="2146" ln="4" eid="SYS_STR">
                                  <s>CY</s>
                                  <s>CY</s>
                                  <s>CY</s>
                                  <nl/>
                                </a>
                              </be>
                              <b key="placeHolder">N</b>
                              <ref key="weight" refId="18"/>
                              <be key="textMatchingCondition" refId="214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e key="hyperlinkInfo" refId="2148" clsId="HyperlinkInfo">
                                <be key="actionList" refId="2149" clsId="ActionList">
                                  <be key="rootStep" refId="2150" clsId="ActionNode">
                                    <be key="parameters" refId="2151" clsId="ActionListParameters">
                                      <s key="cod">Hyperlink</s>
                                      <be key="desc" refId="2152" clsId="MultiDesc">
                                        <a key="desc" refId="2153" ln="4" eid="SYS_STR">
                                          <s>Hyperlink</s>
                                          <s>Hyperlink</s>
                                          <s>Hyperlink</s>
                                          <s>Hyperlink</s>
                                        </a>
                                      </be>
                                    </be>
                                    <s key="actionDescriptorCode">AL</s>
                                    <cust key="id" clsId="FilterOid">1</cust>
                                    <b key="leaf">N</b>
                                    <i key="index">0</i>
                                    <l key="children" refId="2154" ln="1" eid="Framework.com.tagetik.trees.INode,framework">
                                      <be refId="2155" clsId="ActionNode">
                                        <be key="parameters" refId="2156" clsId="DrillThroughActionParameters">
                                          <m key="queries" refId="2157">
                                            <key>
                                              <s>Template04</s>
                                            </key>
                                            <val>
                                              <l refId="2158" ln="1">
                                                <s>Query00</s>
                                              </l>
                                            </val>
                                          </m>
                                        </be>
                                        <s key="actionDescriptorCode">DRILLTHROUGH</s>
                                        <cust key="id" clsId="FilterOid">2</cust>
                                        <b key="leaf">N</b>
                                        <i key="index">0</i>
                                        <ref key="parent" refId="2150"/>
                                      </be>
                                    </l>
                                  </be>
                                </be>
                                <e key="valueOrHeader" refId="2159" id="HyperlinkValueHeaderEnum">B</e>
                                <b key="prevailing">N</b>
                              </be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32</cust>
                            <i key="index">0</i>
                            <ref key="parent" refId="2133"/>
                          </be>
                        </l>
                        <ref key="parent" refId="2127"/>
                      </be>
                      <be refId="2160" clsId="FilterNode">
                        <l key="dimensionOids" refId="2161" ln="1" eid="DimensionOid">
                          <cust clsId="DimensionOid">534345-45-5350424447--50-</cust>
                        </l>
                        <l key="AdHocParamDimensionOids" refId="2162" ln="0" eid="DimensionOid"/>
                        <be key="data" refId="2163" clsId="FilterNodeData">
                          <ref key="filterNode" refId="216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165" ln="3" eid="ScenarioModifierValue">
                            <ref refId="2139"/>
                            <ref refId="255"/>
                            <e refId="2166" id="ScenarioModifierValue">PREC</e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31</cust>
                        <i key="index">0</i>
                        <l key="children" refId="2167" ln="1" eid="Framework.com.tagetik.trees.INode,framework">
                          <be refId="2168" clsId="FilterNode">
                            <l key="dimensionOids" refId="2169" ln="1" eid="DimensionOid">
                              <cust clsId="DimensionOid">504552-45-3132---</cust>
                            </l>
                            <l key="AdHocParamDimensionOids" refId="2170" ln="0" eid="DimensionOid"/>
                            <be key="data" refId="2171" clsId="FilterNodeData">
                              <ref key="filterNode" refId="2168"/>
                              <s key="dim">PER</s>
                              <i key="segmentLevel">0</i>
                              <ref key="segment" refId="424"/>
                              <be key="dictionaryHeader" refId="2172" clsId="MultiDesc">
                                <a key="desc" refId="2173" ln="4" eid="SYS_STR">
                                  <s>PY</s>
                                  <s>PY</s>
                                  <nl/>
                                  <s/>
                                </a>
                              </be>
                              <b key="placeHolder">N</b>
                              <ref key="weight" refId="18"/>
                              <be key="textMatchingCondition" refId="217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35</cust>
                            <i key="index">0</i>
                            <ref key="parent" refId="2160"/>
                          </be>
                        </l>
                        <ref key="parent" refId="2127"/>
                      </be>
                      <be refId="2175" clsId="FilterNode">
                        <l key="dimensionOids" refId="2176" ln="0" eid="DimensionOid"/>
                        <l key="AdHocParamDimensionOids" refId="2177" ln="0" eid="DimensionOid"/>
                        <be key="data" refId="2178" clsId="FilterNodeData">
                          <ref key="filterNode" refId="2175"/>
                          <s key="dim">SCE</s>
                          <i key="segmentLevel">0</i>
                          <ref key="segment" refId="17"/>
                          <be key="dictionaryHeader" refId="2179" clsId="MultiDesc">
                            <a key="desc" refId="2180" ln="4" eid="SYS_STR">
                              <s>Variance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1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1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29</cust>
                        <s key="cod"/>
                        <s key="desc"/>
                        <i key="index">2</i>
                        <l key="children" refId="2183" ln="1" eid="Framework.com.tagetik.trees.INode,framework">
                          <be refId="2184" clsId="FilterNode">
                            <l key="dimensionOids" refId="2185" ln="0" eid="DimensionOid"/>
                            <l key="AdHocParamDimensionOids" refId="2186" ln="0" eid="DimensionOid"/>
                            <be key="data" refId="2187" clsId="FilterNodeData">
                              <ref key="filterNode" refId="2184"/>
                              <s key="dim">PER</s>
                              <i key="segmentLevel">0</i>
                              <ref key="segment" refId="424"/>
                              <be key="reportingFormula" refId="2188" clsId="ReportingFormula">
                                <b key="serverFormula">N</b>
                                <b key="formulaRule">N</b>
                                <s key="formula">{32}-{35}</s>
                              </be>
                              <be key="dictionaryHeader" refId="2189" clsId="MultiDesc">
                                <a key="desc" refId="2190" ln="4" eid="SYS_STR">
                                  <s>Variance</s>
                                  <s>$ Variance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219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34</cust>
                            <s key="cod">PH</s>
                            <s key="desc"/>
                            <i key="index">0</i>
                            <ref key="parent" refId="2175"/>
                          </be>
                        </l>
                        <ref key="parent" refId="2127"/>
                      </be>
                    </l>
                  </be>
                  <be key="matrixFilters" refId="2192" clsId="FilterNode">
                    <l key="dimensionOids" refId="2193" ln="0" eid="DimensionOid"/>
                    <l key="AdHocParamDimensionOids" refId="2194" ln="0" eid="DimensionOid"/>
                    <be key="data" refId="2195" clsId="FilterNodeData">
                      <ref key="filterNode" refId="2192"/>
                      <i key="segmentLevel">0</i>
                      <ref key="segment" refId="17"/>
                      <b key="placeHolder">N</b>
                      <ref key="weight" refId="18"/>
                      <be key="textMatchingCondition" refId="21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2197" ln="1" eid="Framework.com.tagetik.trees.INode,framework">
                      <be refId="2198" clsId="FilterNode">
                        <l key="dimensionOids" refId="2199" ln="1" eid="DimensionOid">
                          <cust clsId="DimensionOid">544950-45-5449505F4F---</cust>
                        </l>
                        <l key="AdHocParamDimensionOids" refId="2200" ln="0" eid="DimensionOid"/>
                        <be key="data" refId="2201" clsId="FilterNodeData">
                          <ref key="filterNode" refId="2198"/>
                          <s key="dim">TIP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20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20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0</i>
                        <l key="children" refId="2204" ln="1" eid="Framework.com.tagetik.trees.INode,framework">
                          <be refId="2205" clsId="FilterNode">
                            <l key="dimensionOids" refId="2206" ln="1" eid="DimensionOid">
                              <cust clsId="DimensionOid">434154-45-24414D4F554E54---</cust>
                            </l>
                            <l key="AdHocParamDimensionOids" refId="2207" ln="0" eid="DimensionOid"/>
                            <be key="data" refId="2208" clsId="FilterNodeData">
                              <ref key="filterNode" refId="2205"/>
                              <s key="dim">CAT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20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21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0</i>
                            <l key="children" refId="2211" ln="1" eid="Framework.com.tagetik.trees.INode,framework">
                              <be refId="2212" clsId="FilterNode">
                                <l key="dimensionOids" refId="2213" ln="1" eid="DimensionOid">
                                  <cust clsId="DimensionOid">4445535432-45-473031---</cust>
                                </l>
                                <l key="AdHocParamDimensionOids" refId="2214" ln="0" eid="DimensionOid"/>
                                <be key="data" refId="2215" clsId="FilterNodeData">
                                  <ref key="filterNode" refId="2212"/>
                                  <s key="dim">DEST2</s>
                                  <i key="segmentLevel">0</i>
                                  <ref key="segment" refId="424"/>
                                  <b key="placeHolder">N</b>
                                  <ref key="weight" refId="18"/>
                                  <be key="textMatchingCondition" refId="2216" clsId="TextMatchingCondition">
                                    <ref key="op" refId="20"/>
                                    <s key="val"/>
                                  </be>
                                  <ref key="change" refId="426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2217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21</cust>
                                <s key="cod"/>
                                <s key="desc"/>
                                <i key="index">0</i>
                                <l key="children" refId="2218" ln="1" eid="Framework.com.tagetik.trees.INode,framework">
                                  <be refId="2219" clsId="FilterNode">
                                    <l key="dimensionOids" refId="2220" ln="1" eid="DimensionOid">
                                      <cust clsId="DimensionOid">4445535431-45-473031---</cust>
                                    </l>
                                    <l key="AdHocParamDimensionOids" refId="2221" ln="0" eid="DimensionOid"/>
                                    <be key="data" refId="2222" clsId="FilterNodeData">
                                      <ref key="filterNode" refId="2219"/>
                                      <s key="dim">DEST1</s>
                                      <i key="segmentLevel">0</i>
                                      <ref key="segment" refId="424"/>
                                      <b key="placeHolder">N</b>
                                      <ref key="weight" refId="18"/>
                                      <be key="textMatchingCondition" refId="2223" clsId="TextMatchingCondition">
                                        <ref key="op" refId="20"/>
                                        <s key="val"/>
                                      </be>
                                      <ref key="change" refId="426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22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25</cust>
                                    <s key="cod"/>
                                    <s key="desc"/>
                                    <i key="index">0</i>
                                    <l key="children" refId="2225" ln="1" eid="Framework.com.tagetik.trees.INode,framework">
                                      <be refId="2226" clsId="FilterNode">
                                        <l key="dimensionOids" refId="2227" ln="1" eid="DimensionOid">
                                          <cust clsId="DimensionOid">44455354335F3130-45-473031---</cust>
                                        </l>
                                        <l key="AdHocParamDimensionOids" refId="2228" ln="0" eid="DimensionOid"/>
                                        <be key="data" refId="2229" clsId="FilterNodeData">
                                          <ref key="filterNode" refId="2226"/>
                                          <s key="dim">DEST3_10</s>
                                          <i key="segmentLevel">0</i>
                                          <ref key="segment" refId="424"/>
                                          <b key="placeHolder">N</b>
                                          <ref key="weight" refId="18"/>
                                          <be key="textMatchingCondition" refId="22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426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223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34</cust>
                                        <s key="cod"/>
                                        <s key="desc"/>
                                        <i key="index">0</i>
                                        <l key="children" refId="2232" ln="0" eid="Framework.com.tagetik.trees.INode,framework"/>
                                        <ref key="parent" refId="2219"/>
                                      </be>
                                    </l>
                                    <ref key="parent" refId="2212"/>
                                  </be>
                                </l>
                                <ref key="parent" refId="2205"/>
                              </be>
                            </l>
                            <ref key="parent" refId="2198"/>
                          </be>
                        </l>
                        <ref key="parent" refId="2192"/>
                      </be>
                    </l>
                  </be>
                  <be key="rowHeaders" refId="2233" clsId="ReportingHeaders">
                    <m key="headers" refId="2234" keid="SYS_PR_I" veid="System.Collections.IList">
                      <key>
                        <i>-2</i>
                      </key>
                      <val>
                        <l refId="2235" ln="1">
                          <s>$Account.code</s>
                        </l>
                      </val>
                      <key>
                        <i>-1</i>
                      </key>
                      <val>
                        <l refId="2236" ln="1">
                          <s>$Account(0).desc</s>
                        </l>
                      </val>
                    </m>
                    <m key="headersDims" refId="2237" keid="SYS_PR_I" veid="SYS_STR">
                      <key>
                        <i>-2</i>
                      </key>
                      <val>
                        <s>VOC</s>
                      </val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2238" clsId="ReportingHeaders">
                    <m key="headers" refId="2239" keid="SYS_PR_I" veid="System.Collections.IList">
                      <key>
                        <i>-1</i>
                      </key>
                      <val>
                        <l refId="2240" ln="1">
                          <s>
                            $Period.desc
                            <ch cod="0a"/>
                            <ch cod="0a"/>
                          </s>
                        </l>
                      </val>
                    </m>
                    <m key="headersDims" refId="2241" keid="SYS_PR_I" veid="SYS_STR">
                      <key>
                        <i>-1</i>
                      </key>
                      <val>
                        <s>PER</s>
                      </val>
                    </m>
                  </be>
                  <ref key="styleType" refId="982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ref key="tipoAllineamentoLordiIC" refId="2082"/>
                  <set key="forcedDimensions" refId="2242" ln="3" eid="SYS_STR">
                    <s>DEST2</s>
                    <s>DEST3</s>
                    <s>DEST1</s>
                  </set>
                  <b key="bindOriginalAmountOnSave">N</b>
                  <b key="showLink">N</b>
                  <i key="index">1</i>
                  <b key="excludeValuatingSheetsWithZeroValues">N</b>
                  <m key="addictionalStyleSheets" refId="2243" keid="SYS_STR" veid="StyleSheet">
                    <key>
                      <s>9</s>
                    </key>
                    <val>
                      <be refId="2244" clsId="StyleSheet">
                        <s key="cod">TGK-Style</s>
                        <e key="applyFirst" refId="2245" id="MultiplePosBlockType">ROWS</e>
                        <m key="rules" refId="2246" keid="SYS_STR" veid="System.Collections.IList">
                          <key>
                            <s>46524D4F424A-45-535542----524F5753-535542-56414C554553-30</s>
                          </key>
                          <val>
                            <l refId="2247" ln="1">
                              <be refId="2248" clsId="StyleRule">
                                <be key="ruleCondition" refId="2249" clsId="StyleRuleCondition">
                                  <b key="trailing">N</b>
                                  <b key="leading">N</b>
                                </be>
                                <s key="codStile">Total</s>
                              </be>
                            </l>
                          </val>
                          <key>
                            <s>46524D4F424A-45-535542----524F5753-535542-48454144455253-234E2F41</s>
                          </key>
                          <val>
                            <l refId="2250" ln="1">
                              <be refId="2251" clsId="StyleRule">
                                <be key="ruleCondition" refId="2252" clsId="StyleRuleCondition">
                                  <b key="trailing">N</b>
                                  <b key="leading">N</b>
                                </be>
                                <s key="codStile">Subtotal</s>
                              </be>
                            </l>
                          </val>
                        </m>
                        <d key="dateUpd">1324301077160</d>
                        <ref key="tipoClient" refId="991"/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253" ln="0" eid="Reporting.com.tagetik.tables.IMatixCellLeafPositions,Reporting"/>
                  <m key="forcedEditModes" refId="2254" keid="Reporting.com.tagetik.tables.IMatixCellLeafPositions,Reporting" veid="SYS_STR"/>
                  <b key="UseTxlDeFormEditor">N</b>
                  <be key="TxDeFormsEditorDescriptor" refId="2255" clsId="TxDeFormsEditorDescriptor">
                    <l key="Tabs" refId="225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2257" keid="SYS_STR" veid="CodeCellField">
              <key>
                <s>CellField03</s>
              </key>
              <val>
                <be refId="2258" clsId="CodeCellField">
                  <s key="code">CellField03</s>
                  <s key="cellField">CONCATENATE("Run by ",user.desc," on ",report.runDate)</s>
                </be>
              </val>
            </m>
            <m key="dictionary" refId="2259" keid="SYS_STR" veid="CodeMultiDescVO"/>
            <m key="controlExpressions" refId="2260" keid="SYS_STR" veid="CodedExpControlloProspetto"/>
            <m key="inlineParameters" refId="2261" keid="SYS_STR" veid="CodedInlineParameter"/>
            <m key="queries" refId="2262" keid="SYS_STR" veid="Reporting.com.tagetik.query.IUserDefinedQueryVO,Reporting">
              <key>
                <s>Query00</s>
              </key>
              <val>
                <be refId="2263" clsId="UserDefinedQueryVO">
                  <s key="queryString">
                    <ch cod="0a"/>
                    SELECT A.GL_Account, A.Description,a.Amount from(
                    <ch cod="0a"/>
                    <ch cod="0a"/>
                    select campo5 GL_Account,campo12 description,convert(numeric(20,2),replace(campo9,',','.'))AS Amount 
                    <ch cod="0a"/>
                    FROM map_dati_trasformati
                    <ch cod="0a"/>
                    where cod_mappatura='020' and cod_import='01'
                    <ch cod="0a"/>
                    and campo1=${$Scenario.code}
                    <ch cod="0a"/>
                    and campo2= ${$Period.code}
                    <ch cod="0a"/>
                    and campo5=${$Account.code}
                    <ch cod="0a"/>
                    and campo3=${$Entity.code})A
                    <ch cod="0a"/>
                    <ch cod="0a"/>
                    union all
                    <ch cod="0a"/>
                    select 'Total','',SUM(A.AMOUNT)
                    <ch cod="0a"/>
                    <ch cod="0a"/>
                    FROM (
                    <ch cod="0a"/>
                    <ch cod="0a"/>
                    select campo5 GL_Account,campo12 Description,convert(numeric(20,2),replace(campo9,',','.'))AS Amount 
                    <ch cod="0a"/>
                    FROM map_dati_trasformati
                    <ch cod="0a"/>
                    where cod_mappatura='020' and cod_import='01'
                    <ch cod="0a"/>
                    and campo1=${$Scenario.code}
                    <ch cod="0a"/>
                    and campo2= ${$Period.code}
                    <ch cod="0a"/>
                    and campo5=${$Account.code}
                    <ch cod="0a"/>
                    and campo3=${$Entity.code})A
                    <ch cod="0a"/>
                    <ch cod="0a"/>
                    <ch cod="0a"/>
                    <ch cod="0a"/>
                  </s>
                  <s key="queryType">S</s>
                  <e key="querySyntax" refId="2264" id="UserDefinedQuerySyntax">SQL</e>
                  <m key="options" refId="2265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S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N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Query00</s>
                  <be key="multiDescVO" refId="2266" clsId="MultiDesc">
                    <a key="desc" refId="2267" ln="4" eid="SYS_STR">
                      <s>Accounting Data</s>
                      <s>Transactional Data</s>
                      <s/>
                      <nl/>
                    </a>
                  </be>
                  <be key="initialResult" refId="2268" clsId="QueryResult">
                    <rs key="recordset" refId="2269" rowCount="0" fieldNames="GL_ACCOUNT,DESCRIPTION,AMOUNT">
                      <field name="GL_ACCOUNT"/>
                      <field name="DESCRIPTION"/>
                      <field name="AMOUNT"/>
                    </rs>
                    <a key="columnTypes" refId="2270" ln="3" eid="SYS_PR_I">
                      <i>12</i>
                      <i>12</i>
                      <i>2</i>
                    </a>
                    <i key="rowsCount">0</i>
                    <a key="columnNames" refId="2271" ln="3" eid="SYS_STR">
                      <s>GL_ACCOUNT</s>
                      <s>DESCRIPTION</s>
                      <s>AMOUNT</s>
                    </a>
                  </be>
                  <b key="hasExcelReferences">N</b>
                  <m key="ColumnDescriptors" refId="2272" keid="SYS_STR" veid="QueryColumnDescriptor">
                    <key>
                      <s>GL_ACCOUNT</s>
                    </key>
                    <val>
                      <be refId="2273" clsId="QueryColumnDescriptor">
                        <s key="code">GL_ACCOUNT</s>
                        <be key="multiDescVO" refId="2274" clsId="MultiDesc">
                          <a key="desc" refId="227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DESCRIPTION</s>
                    </key>
                    <val>
                      <be refId="2276" clsId="QueryColumnDescriptor">
                        <s key="code">DESCRIPTION</s>
                        <be key="multiDescVO" refId="2277" clsId="MultiDesc">
                          <a key="desc" refId="227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AMOUNT</s>
                    </key>
                    <val>
                      <be refId="2279" clsId="QueryColumnDescriptor">
                        <s key="code">AMOUNT</s>
                        <be key="multiDescVO" refId="2280" clsId="MultiDesc">
                          <a key="desc" refId="228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</m>
            <be key="sheets" refId="2282" clsId="FilterNode">
              <l key="dimensionOids" refId="2283" ln="0" eid="DimensionOid"/>
              <l key="AdHocParamDimensionOids" refId="2284" ln="0" eid="DimensionOid"/>
              <be key="data" refId="2285" clsId="FilterNodeData">
                <ref key="filterNode" refId="2282"/>
                <i key="segmentLevel">0</i>
                <ref key="segment" refId="424"/>
                <b key="placeHolder">N</b>
                <ref key="weight" refId="18"/>
                <be key="textMatchingCondition" refId="2286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2287" keid="SYS_STR" veid="ElaborationsLauncher"/>
            <m key="actionLists" refId="2288" keid="SYS_STR" veid="Reporting.com.tagetik.actionlist.ISnapshotActionList,Reporting"/>
            <l key="areas" refId="2289" ln="1" eid="SYS_STR">
              <s>_FilterDatabase</s>
            </l>
            <l key="charts" refId="2290" ln="0" eid="SYS_STR"/>
            <l key="pivots" refId="2291" ln="0" eid="SYS_STR"/>
          </be>
        </val>
      </m>
      <m key="templateLayouts" refId="2292" keid="SYS_STR" veid="Reporting.com.tagetik.report.IReportTemplateLayoutVO,Reporting">
        <key>
          <s>Template03</s>
        </key>
        <val>
          <be refId="2293" clsId="ReportTemplateLayoutVO">
            <i key="index">3</i>
            <s key="code">Template03</s>
            <m key="cellFieldAddresses" refId="2294" keid="SYS_STR" veid="Reporting.com.tagetik.spreadsheet.gridwrappers.IGridReaderVO,Reporting">
              <key>
                <s>CellField00</s>
              </key>
              <val>
                <be refId="2295" clsId="ExcelCompactGridReaderVO">
                  <be key="element" refId="2296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B33</s>
                </be>
              </val>
            </m>
            <m key="controlExpressionsAddresses" refId="2297" keid="SYS_STR" veid="Reporting.com.tagetik.spreadsheet.gridwrappers.IGridReaderVO,Reporting"/>
            <m key="inlineParameterAddresses" refId="2298" keid="SYS_STR" veid="Reporting.com.tagetik.spreadsheet.gridwrappers.IGridReaderVO,Reporting"/>
            <m key="dictionaryAddresses" refId="2299" keid="SYS_STR" veid="Reporting.com.tagetik.spreadsheet.gridwrappers.IGridReaderVO,Reporting"/>
            <m key="hyperlinkAddresses" refId="2300" keid="SYS_STR" veid="Reporting.com.tagetik.spreadsheet.gridwrappers.IGridReaderVO,Reporting"/>
            <m key="matrixGridReaders" refId="2301" keid="SYS_STR" veid="Reporting.com.tagetik.spreadsheet.gridwrappers.IGridReaderVO,Reporting">
              <key>
                <s>Comp. Analysis by Quarter</s>
              </key>
              <val>
                <be refId="2302" clsId="ExcelCompactGridReaderVO">
                  <be key="element" refId="2303" clsId="BasicLogicalElement">
                    <i key="columnHeadersCount">2</i>
                    <i key="rowHeadersCount">2</i>
                    <i key="valueColumns">17</i>
                    <i key="valueRows">25</i>
                  </be>
                  <s key="firstCell">B5</s>
                </be>
              </val>
            </m>
            <m key="queryGridReaders" refId="2304" keid="SYS_STR" veid="Reporting.com.tagetik.spreadsheet.gridwrappers.IGridReaderVO,Reporting"/>
          </be>
        </val>
        <key>
          <s>Template00</s>
        </key>
        <val>
          <be refId="2305" clsId="ReportTemplateLayoutVO">
            <i key="index">0</i>
            <s key="code">Template00</s>
            <m key="cellFieldAddresses" refId="2306" keid="SYS_STR" veid="Reporting.com.tagetik.spreadsheet.gridwrappers.IGridReaderVO,Reporting">
              <key>
                <s>CellField03</s>
              </key>
              <val>
                <be refId="2307" clsId="ExcelCompactGridReaderVO">
                  <be key="element" refId="230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B69</s>
                </be>
              </val>
            </m>
            <m key="controlExpressionsAddresses" refId="2309" keid="SYS_STR" veid="Reporting.com.tagetik.spreadsheet.gridwrappers.IGridReaderVO,Reporting"/>
            <m key="inlineParameterAddresses" refId="2310" keid="SYS_STR" veid="Reporting.com.tagetik.spreadsheet.gridwrappers.IGridReaderVO,Reporting">
              <key>
                <s>InlineParameter01</s>
              </key>
              <val>
                <be refId="2311" clsId="ExcelCompactGridReaderVO">
                  <be key="element" refId="2312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B3</s>
                </be>
              </val>
              <key>
                <s>InlineParameter00</s>
              </key>
              <val>
                <be refId="2313" clsId="ExcelCompactGridReaderVO">
                  <be key="element" refId="2314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B2</s>
                </be>
              </val>
            </m>
            <m key="dictionaryAddresses" refId="2315" keid="SYS_STR" veid="Reporting.com.tagetik.spreadsheet.gridwrappers.IGridReaderVO,Reporting"/>
            <m key="hyperlinkAddresses" refId="2316" keid="SYS_STR" veid="Reporting.com.tagetik.spreadsheet.gridwrappers.IGridReaderVO,Reporting">
              <key>
                <s>Hyperlink00</s>
              </key>
              <val>
                <be refId="2317" clsId="ExcelCompactGridReaderVO">
                  <be key="element" refId="231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H1</s>
                </be>
              </val>
            </m>
            <m key="matrixGridReaders" refId="2319" keid="SYS_STR" veid="Reporting.com.tagetik.spreadsheet.gridwrappers.IGridReaderVO,Reporting">
              <key>
                <s>BDG/ACT VARIATION</s>
              </key>
              <val>
                <be refId="2320" clsId="ExcelCompactGridReaderVO">
                  <be key="element" refId="2321" clsId="BasicLogicalElement">
                    <i key="columnHeadersCount">1</i>
                    <i key="rowHeadersCount">1</i>
                    <i key="valueColumns">5</i>
                    <i key="valueRows">28</i>
                  </be>
                  <s key="firstCell">B6</s>
                </be>
              </val>
              <key>
                <s>Matrix00</s>
              </key>
              <val>
                <be refId="2322" clsId="ExcelCompactGridReaderVO">
                  <be key="element" refId="2323" clsId="BasicLogicalElement">
                    <i key="columnHeadersCount">1</i>
                    <i key="rowHeadersCount">2</i>
                    <i key="valueColumns">12</i>
                    <i key="valueRows">9</i>
                  </be>
                  <s key="firstCell">AA7</s>
                </be>
              </val>
            </m>
            <m key="queryGridReaders" refId="2324" keid="SYS_STR" veid="Reporting.com.tagetik.spreadsheet.gridwrappers.IGridReaderVO,Reporting"/>
          </be>
        </val>
        <key>
          <s>Template01</s>
        </key>
        <val>
          <be refId="2325" clsId="ReportTemplateLayoutVO">
            <i key="index">2</i>
            <s key="code">Template01</s>
            <m key="cellFieldAddresses" refId="2326" keid="SYS_STR" veid="Reporting.com.tagetik.spreadsheet.gridwrappers.IGridReaderVO,Reporting">
              <key>
                <s>CellField02</s>
              </key>
              <val>
                <be refId="2327" clsId="ExcelCompactGridReaderVO">
                  <be key="element" refId="232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N100</s>
                </be>
              </val>
            </m>
            <m key="controlExpressionsAddresses" refId="2329" keid="SYS_STR" veid="Reporting.com.tagetik.spreadsheet.gridwrappers.IGridReaderVO,Reporting"/>
            <m key="inlineParameterAddresses" refId="2330" keid="SYS_STR" veid="Reporting.com.tagetik.spreadsheet.gridwrappers.IGridReaderVO,Reporting"/>
            <m key="dictionaryAddresses" refId="2331" keid="SYS_STR" veid="Reporting.com.tagetik.spreadsheet.gridwrappers.IGridReaderVO,Reporting"/>
            <m key="hyperlinkAddresses" refId="2332" keid="SYS_STR" veid="Reporting.com.tagetik.spreadsheet.gridwrappers.IGridReaderVO,Reporting"/>
            <m key="matrixGridReaders" refId="2333" keid="SYS_STR" veid="Reporting.com.tagetik.spreadsheet.gridwrappers.IGridReaderVO,Reporting">
              <key>
                <s>CASH FLOW</s>
              </key>
              <val>
                <be refId="2334" clsId="ExcelCompactGridReaderVO">
                  <be key="element" refId="2335" clsId="BasicLogicalElement">
                    <i key="columnHeadersCount">1</i>
                    <i key="rowHeadersCount">1</i>
                    <i key="valueColumns">5</i>
                    <i key="valueRows">90</i>
                  </be>
                  <s key="firstCell">B7</s>
                </be>
              </val>
            </m>
            <m key="queryGridReaders" refId="2336" keid="SYS_STR" veid="Reporting.com.tagetik.spreadsheet.gridwrappers.IGridReaderVO,Reporting"/>
          </be>
        </val>
        <key>
          <s>Template04</s>
        </key>
        <val>
          <be refId="2337" clsId="ReportTemplateLayoutVO">
            <i key="index">1</i>
            <s key="code">Template04</s>
            <m key="cellFieldAddresses" refId="2338" keid="SYS_STR" veid="Reporting.com.tagetik.spreadsheet.gridwrappers.IGridReaderVO,Reporting">
              <key>
                <s>CellField03</s>
              </key>
              <val>
                <be refId="2339" clsId="ExcelCompactGridReaderVO">
                  <be key="element" refId="2340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C8</s>
                </be>
              </val>
            </m>
            <m key="controlExpressionsAddresses" refId="2341" keid="SYS_STR" veid="Reporting.com.tagetik.spreadsheet.gridwrappers.IGridReaderVO,Reporting"/>
            <m key="inlineParameterAddresses" refId="2342" keid="SYS_STR" veid="Reporting.com.tagetik.spreadsheet.gridwrappers.IGridReaderVO,Reporting"/>
            <m key="dictionaryAddresses" refId="2343" keid="SYS_STR" veid="Reporting.com.tagetik.spreadsheet.gridwrappers.IGridReaderVO,Reporting"/>
            <m key="hyperlinkAddresses" refId="2344" keid="SYS_STR" veid="Reporting.com.tagetik.spreadsheet.gridwrappers.IGridReaderVO,Reporting"/>
            <m key="matrixGridReaders" refId="2345" keid="SYS_STR" veid="Reporting.com.tagetik.spreadsheet.gridwrappers.IGridReaderVO,Reporting">
              <key>
                <s>BALANCE SHEET</s>
              </key>
              <val>
                <be refId="2346" clsId="ExcelCompactGridReaderVO">
                  <be key="element" refId="2347" clsId="BasicLogicalElement">
                    <i key="columnHeadersCount">1</i>
                    <i key="rowHeadersCount">2</i>
                    <i key="valueColumns">3</i>
                    <i key="valueRows">1</i>
                  </be>
                  <s key="firstCell">B4</s>
                </be>
              </val>
            </m>
            <m key="queryGridReaders" refId="2348" keid="SYS_STR" veid="Reporting.com.tagetik.spreadsheet.gridwrappers.IGridReaderVO,Reporting">
              <key>
                <s>Query00</s>
              </key>
              <val>
                <be refId="2349" clsId="ExcelCompactGridReaderVO">
                  <be key="element" refId="2350" clsId="BasicLogicalElement">
                    <i key="columnHeadersCount">2</i>
                    <i key="rowHeadersCount">0</i>
                    <i key="valueColumns">3</i>
                    <i key="valueRows">1</i>
                  </be>
                  <s key="firstCell">H4</s>
                </be>
              </val>
            </m>
          </be>
        </val>
      </m>
      <m key="adHocParameters" refId="2351" keid="SYS_STR" veid="ProspParametro"/>
      <l key="parametersToBeRequested" refId="2352" ln="2" eid="ParameterInfo">
        <be refId="2353" clsId="ParameterInfo">
          <cust key="oid" clsId="DimensionOid">534345-45-5350424447--50-</cust>
          <b key="explicitlyUsed">S</b>
          <b key="forced">N</b>
          <b key="advanced">N</b>
        </be>
        <be refId="2354" clsId="ParameterInfo">
          <cust key="oid" clsId="DimensionOid">415A495F3130-45-524547494F4E414C5F56494557--50-</cust>
          <b key="explicitlyUsed">S</b>
          <b key="forced">N</b>
          <b key="advanced">N</b>
        </be>
      </l>
      <be key="reportFilters" refId="2355" clsId="FilterNode">
        <l key="dimensionOids" refId="2356" ln="0" eid="DimensionOid"/>
        <l key="AdHocParamDimensionOids" refId="2357" ln="0" eid="DimensionOid"/>
        <be key="data" refId="2358" clsId="FilterNodeData">
          <ref key="filterNode" refId="2355"/>
          <i key="segmentLevel">0</i>
          <ref key="segment" refId="424"/>
          <b key="placeHolder">N</b>
          <ref key="weight" refId="18"/>
          <be key="textMatchingCondition" refId="2359" clsId="TextMatchingCondition">
            <ref key="op" refId="20"/>
            <s key="val"/>
          </be>
          <ref key="change" refId="426"/>
          <ref key="dataType" refId="22"/>
          <b key="prevailingDataType">N</b>
          <ref key="editability" refId="23"/>
          <b key="signChange">N</b>
          <b key="nativeSignChange">N</b>
          <i key="sco">0</i>
          <b key="applyFiltersForForcedScenarioPeriodoMap">N</b>
          <b key="lineSplit">N</b>
          <b key="addRCRow">N</b>
          <b key="complementary">N</b>
          <b key="breakLevelSubtotal">N</b>
          <b key="alreadyDrilled">N</b>
        </be>
        <cust key="id" clsId="FilterOid">1</cust>
        <s key="cod">ROOT</s>
        <s key="desc">Report filters root</s>
        <i key="index">0</i>
        <l key="children" refId="2360" ln="1" eid="Framework.com.tagetik.trees.INode,framework">
          <be refId="2361" clsId="FilterNode">
            <l key="dimensionOids" refId="2362" ln="1" eid="DimensionOid">
              <cust clsId="DimensionOid">544950-45-5449505F4F---</cust>
            </l>
            <l key="AdHocParamDimensionOids" refId="2363" ln="0" eid="DimensionOid"/>
            <be key="data" refId="2364" clsId="FilterNodeData">
              <ref key="filterNode" refId="2361"/>
              <s key="dim">TIP</s>
              <i key="segmentLevel">0</i>
              <ref key="segment" refId="17"/>
              <b key="placeHolder">N</b>
              <ref key="weight" refId="18"/>
              <be key="textMatchingCondition" refId="2365" clsId="TextMatchingCondition">
                <ref key="op" refId="20"/>
                <s key="val"/>
              </be>
              <ref key="change" refId="21"/>
              <ref key="dataType" refId="22"/>
              <b key="prevailingDataType">N</b>
              <ref key="editability" refId="23"/>
              <b key="signChange">N</b>
              <b key="nativeSignChange">N</b>
              <i key="sco">0</i>
              <b key="applyFiltersForForcedScenarioPeriodoMap">N</b>
              <b key="lineSplit">N</b>
              <b key="addRCRow">N</b>
              <b key="complementary">N</b>
              <b key="breakLevelSubtotal">N</b>
              <b key="alreadyDrilled">N</b>
            </be>
            <cust key="id" clsId="FilterOid">3</cust>
            <i key="index">0</i>
            <l key="children" refId="2366" ln="1" eid="Framework.com.tagetik.trees.INode,framework">
              <be refId="2367" clsId="FilterNode">
                <l key="dimensionOids" refId="2368" ln="1" eid="DimensionOid">
                  <cust clsId="DimensionOid">415A495F3130-45-524547494F4E414C5F56494557--50-</cust>
                </l>
                <l key="AdHocParamDimensionOids" refId="2369" ln="0" eid="DimensionOid"/>
                <be key="data" refId="2370" clsId="FilterNodeData">
                  <ref key="filterNode" refId="2367"/>
                  <s key="dim">AZI_10</s>
                  <i key="segmentLevel">0</i>
                  <ref key="segment" refId="17"/>
                  <b key="placeHolder">N</b>
                  <ref key="weight" refId="18"/>
                  <be key="textMatchingCondition" refId="2371" clsId="TextMatchingCondition">
                    <ref key="op" refId="20"/>
                    <s key="val"/>
                  </be>
                  <ref key="change" refId="21"/>
                  <ref key="dataType" refId="22"/>
                  <b key="prevailingDataType">N</b>
                  <ref key="editability" refId="23"/>
                  <b key="signChange">N</b>
                  <b key="nativeSignChange">N</b>
                  <i key="sco">0</i>
                  <b key="applyFiltersForForcedScenarioPeriodoMap">N</b>
                  <b key="lineSplit">N</b>
                  <b key="addRCRow">N</b>
                  <b key="complementary">N</b>
                  <b key="breakLevelSubtotal">N</b>
                  <b key="alreadyDrilled">N</b>
                </be>
                <cust key="id" clsId="FilterOid">4</cust>
                <i key="index">0</i>
                <ref key="parent" refId="2361"/>
              </be>
            </l>
            <ref key="parent" refId="2355"/>
          </be>
        </l>
      </be>
      <be key="dashboardData" refId="2372" clsId="DashboardMultiTemplateData"/>
    </be>
  </data>
</easyPacket>
</file>

<file path=customXml/itemProps1.xml><?xml version="1.0" encoding="utf-8"?>
<ds:datastoreItem xmlns:ds="http://schemas.openxmlformats.org/officeDocument/2006/customXml" ds:itemID="{7215A468-2CBC-45DD-A8FE-309B9B36C0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PL</vt:lpstr>
      <vt:lpstr>BS</vt:lpstr>
      <vt:lpstr>CF</vt:lpstr>
      <vt:lpstr>Comp. Analysis</vt:lpstr>
      <vt:lpstr>BOOK</vt:lpstr>
      <vt:lpstr>PLAN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Sonia Barbarossa</dc:creator>
  <cp:lastModifiedBy>Cesare Cantieri</cp:lastModifiedBy>
  <dcterms:created xsi:type="dcterms:W3CDTF">2012-03-15T00:16:30Z</dcterms:created>
  <dcterms:modified xsi:type="dcterms:W3CDTF">2016-01-05T13:30:20Z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TCPM_DEMODEV_001</vt:lpwstr>
  </op:property>
  <op:property fmtid="{D5CDD505-2E9C-101B-9397-08002B2CF9AE}" pid="3" name="TGK_VERSION">
    <vt:lpwstr>5.2.0.0-SNAPSHOT</vt:lpwstr>
  </op:property>
  <op:property fmtid="{D5CDD505-2E9C-101B-9397-08002B2CF9AE}" pid="4" name="TGK_DOCID">
    <vt:lpwstr>732498fc-7654-48f8-b7fa-ea920c83e5fc</vt:lpwstr>
  </op:property>
  <op:property fmtid="{D5CDD505-2E9C-101B-9397-08002B2CF9AE}" pid="5" name="TGK_STATUS">
    <vt:lpstr>ADH_TPL</vt:lpstr>
  </op:property>
  <op:property fmtid="{D5CDD505-2E9C-101B-9397-08002B2CF9AE}" pid="6" name="TGK_CUSTOM_XML">
    <vt:lpwstr>{7215A468-2CBC-45DD-A8FE-309B9B36C039}</vt:lpwstr>
  </op:property>
</op:Properties>
</file>