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120" yWindow="285" windowWidth="15480" windowHeight="10935" firstSheet="1" activeTab="1"/>
  </bookViews>
  <sheets>
    <sheet name="_TGK_HIDDEN" sheetId="7" state="veryHidden" r:id="rId1"/>
    <sheet name="Gross Sales" sheetId="3" r:id="rId2"/>
    <sheet name="_tgk_hidden_styles" sheetId="8" state="hidden" r:id="rId3"/>
  </sheets>
  <definedNames>
    <definedName name="AREATEST">'Gross Sales'!$G$53:$G$61</definedName>
  </definedNames>
  <calcPr calcId="145621"/>
</workbook>
</file>

<file path=xl/calcChain.xml><?xml version="1.0" encoding="utf-8"?>
<calcChain xmlns="http://schemas.openxmlformats.org/spreadsheetml/2006/main">
  <c r="F15" i="3" l="1"/>
  <c r="D15" i="3"/>
  <c r="B1" i="7" l="1"/>
  <c r="F43" i="3"/>
  <c r="D43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D38" i="3"/>
  <c r="R37" i="3"/>
  <c r="R36" i="3"/>
  <c r="R35" i="3"/>
  <c r="R34" i="3"/>
  <c r="R33" i="3"/>
  <c r="R32" i="3"/>
  <c r="R31" i="3"/>
  <c r="F28" i="3"/>
  <c r="D28" i="3"/>
  <c r="U25" i="3"/>
  <c r="T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D25" i="3"/>
  <c r="T24" i="3"/>
  <c r="R24" i="3"/>
  <c r="U23" i="3"/>
  <c r="T23" i="3"/>
  <c r="R23" i="3"/>
  <c r="U22" i="3"/>
  <c r="T22" i="3"/>
  <c r="R22" i="3"/>
  <c r="U21" i="3"/>
  <c r="T21" i="3"/>
  <c r="R21" i="3"/>
  <c r="U20" i="3"/>
  <c r="T20" i="3"/>
  <c r="R20" i="3"/>
  <c r="U19" i="3"/>
  <c r="T19" i="3"/>
  <c r="R19" i="3"/>
  <c r="U18" i="3"/>
  <c r="T18" i="3"/>
  <c r="R18" i="3"/>
  <c r="N47" i="3"/>
  <c r="J47" i="3"/>
  <c r="F47" i="3"/>
  <c r="Q47" i="3"/>
  <c r="M47" i="3"/>
  <c r="I47" i="3"/>
  <c r="P47" i="3"/>
  <c r="L47" i="3"/>
  <c r="H47" i="3"/>
  <c r="O47" i="3"/>
  <c r="K47" i="3"/>
  <c r="G47" i="3"/>
</calcChain>
</file>

<file path=xl/comments1.xml><?xml version="1.0" encoding="utf-8"?>
<comments xmlns="http://schemas.openxmlformats.org/spreadsheetml/2006/main">
  <authors>
    <author>Young</author>
  </authors>
  <commentList>
    <comment ref="F18" authorId="0">
      <text>
        <r>
          <rPr>
            <b/>
            <sz val="11"/>
            <rFont val="Calibri"/>
          </rPr>
          <t>Young</t>
        </r>
        <r>
          <rPr>
            <i/>
            <sz val="11"/>
            <rFont val="Calibri"/>
          </rPr>
          <t xml:space="preserve"> (07/28/14 16:37:02)
</t>
        </r>
        <r>
          <rPr>
            <sz val="11"/>
            <color theme="1"/>
            <rFont val="Calibri"/>
            <family val="2"/>
            <scheme val="minor"/>
          </rPr>
          <t xml:space="preserve">January Units lower than expected
</t>
        </r>
      </text>
    </comment>
    <comment ref="G18" authorId="0">
      <text>
        <r>
          <rPr>
            <b/>
            <sz val="11"/>
            <rFont val="Calibri"/>
          </rPr>
          <t>Young</t>
        </r>
        <r>
          <rPr>
            <i/>
            <sz val="11"/>
            <rFont val="Calibri"/>
          </rPr>
          <t xml:space="preserve"> (07/29/14 09:57:37)
</t>
        </r>
        <r>
          <rPr>
            <sz val="11"/>
            <color theme="1"/>
            <rFont val="Calibri"/>
            <family val="2"/>
            <scheme val="minor"/>
          </rPr>
          <t xml:space="preserve">february units for antivirus will be more than expected
</t>
        </r>
        <r>
          <rPr>
            <b/>
            <sz val="11"/>
            <color rgb="FF0000FF"/>
            <rFont val="Calibri"/>
          </rPr>
          <t xml:space="preserve">Attachment: Supplemental Detail (Insuarnce Policy.pdf)
</t>
        </r>
        <r>
          <rPr>
            <sz val="11"/>
            <color theme="1"/>
            <rFont val="Calibri"/>
            <family val="2"/>
            <scheme val="minor"/>
          </rPr>
          <t xml:space="preserve">
</t>
        </r>
      </text>
    </comment>
    <comment ref="H19" authorId="0">
      <text>
        <r>
          <rPr>
            <b/>
            <sz val="11"/>
            <rFont val="Calibri"/>
          </rPr>
          <t>Young</t>
        </r>
        <r>
          <rPr>
            <i/>
            <sz val="11"/>
            <rFont val="Calibri"/>
          </rPr>
          <t xml:space="preserve"> (08/13/14 22:12:56)
</t>
        </r>
        <r>
          <rPr>
            <sz val="11"/>
            <color theme="1"/>
            <rFont val="Calibri"/>
            <family val="2"/>
            <scheme val="minor"/>
          </rPr>
          <t xml:space="preserve">test attachment
</t>
        </r>
      </text>
    </comment>
  </commentList>
</comments>
</file>

<file path=xl/sharedStrings.xml><?xml version="1.0" encoding="utf-8"?>
<sst xmlns="http://schemas.openxmlformats.org/spreadsheetml/2006/main" count="213" uniqueCount="125">
  <si>
    <t>Price Definition</t>
  </si>
  <si>
    <t>Sales Deduction %</t>
  </si>
  <si>
    <t>Feb</t>
  </si>
  <si>
    <t>Mar</t>
  </si>
  <si>
    <t>Apr</t>
  </si>
  <si>
    <t>Nov</t>
  </si>
  <si>
    <t>Gross Sales</t>
  </si>
  <si>
    <t>Quantity</t>
  </si>
  <si>
    <t>Total</t>
  </si>
  <si>
    <t>$ Variance</t>
  </si>
  <si>
    <t>% Variance</t>
  </si>
  <si>
    <t>FTE Capacity</t>
  </si>
  <si>
    <t>Available FTEs</t>
  </si>
  <si>
    <t>Payroll Model</t>
  </si>
  <si>
    <t>FTE Margin</t>
  </si>
  <si>
    <t>Total_head</t>
  </si>
  <si>
    <t>TGK_TOC_SHEET_ROW</t>
  </si>
  <si>
    <t>TGK_TOC_REPORT_ROW</t>
  </si>
  <si>
    <t>Subtotal head row fill</t>
  </si>
  <si>
    <t>Head_left</t>
  </si>
  <si>
    <t>Output</t>
  </si>
  <si>
    <t>%0.0</t>
  </si>
  <si>
    <t>20% - Accent1</t>
  </si>
  <si>
    <t>20% - Accent2</t>
  </si>
  <si>
    <t>20% - Accent3</t>
  </si>
  <si>
    <t>20% - Accent4</t>
  </si>
  <si>
    <t>20% - Accent5</t>
  </si>
  <si>
    <t>Check Cell</t>
  </si>
  <si>
    <t>R_head_font</t>
  </si>
  <si>
    <t>Date</t>
  </si>
  <si>
    <t>Percent</t>
  </si>
  <si>
    <t>Subtotal_Head_C</t>
  </si>
  <si>
    <t>Hyperlnk row header underlined bold</t>
  </si>
  <si>
    <t>Amounts-1000</t>
  </si>
  <si>
    <t>Currency</t>
  </si>
  <si>
    <t>Placeholder_Header</t>
  </si>
  <si>
    <t>Total_Amounts_C</t>
  </si>
  <si>
    <t>Accent6</t>
  </si>
  <si>
    <t>Accent5</t>
  </si>
  <si>
    <t>Accent4</t>
  </si>
  <si>
    <t>Total_Head_C</t>
  </si>
  <si>
    <t>Neutral</t>
  </si>
  <si>
    <t>Accent3</t>
  </si>
  <si>
    <t>Calculation</t>
  </si>
  <si>
    <t>Total_amounts</t>
  </si>
  <si>
    <t>Accent2</t>
  </si>
  <si>
    <t>Accent1</t>
  </si>
  <si>
    <t>Subtotal Amounts row fill</t>
  </si>
  <si>
    <t>20% - Accent6</t>
  </si>
  <si>
    <t>Comma [0]</t>
  </si>
  <si>
    <t>Placeholder Header Underlined bold</t>
  </si>
  <si>
    <t>R_formula</t>
  </si>
  <si>
    <t>C_Head</t>
  </si>
  <si>
    <t>Explanatory Text</t>
  </si>
  <si>
    <t>Total_Headers_Margin</t>
  </si>
  <si>
    <t>Good</t>
  </si>
  <si>
    <t>ACT</t>
  </si>
  <si>
    <t>Subtotal_amounts</t>
  </si>
  <si>
    <t>Middle Headers Centered</t>
  </si>
  <si>
    <t>%0.</t>
  </si>
  <si>
    <t>60% - Accent4</t>
  </si>
  <si>
    <t>Currency [0]</t>
  </si>
  <si>
    <t>60% - Accent5</t>
  </si>
  <si>
    <t>60% - Accent2</t>
  </si>
  <si>
    <t>60% - Accent3</t>
  </si>
  <si>
    <t>40% - Accent3</t>
  </si>
  <si>
    <t>R_Area_font</t>
  </si>
  <si>
    <t>40% - Accent2</t>
  </si>
  <si>
    <t>Bad</t>
  </si>
  <si>
    <t>60% - Accent6</t>
  </si>
  <si>
    <t>40% - Accent1</t>
  </si>
  <si>
    <t>Data(USA)</t>
  </si>
  <si>
    <t>BDG</t>
  </si>
  <si>
    <t>Amounts_Board</t>
  </si>
  <si>
    <t>Work new book placeholder header underlined</t>
  </si>
  <si>
    <t>%0.00</t>
  </si>
  <si>
    <t>Normal</t>
  </si>
  <si>
    <t>Input</t>
  </si>
  <si>
    <t>Hyperlink for amounts</t>
  </si>
  <si>
    <t>Formula</t>
  </si>
  <si>
    <t>Placeholder_column_blank</t>
  </si>
  <si>
    <t>Warning Text</t>
  </si>
  <si>
    <t>Placeholder</t>
  </si>
  <si>
    <t>FST description blank</t>
  </si>
  <si>
    <t>TGK_TOC_PAGE_COLUMN</t>
  </si>
  <si>
    <t>Note</t>
  </si>
  <si>
    <t>Amounts left nolocked</t>
  </si>
  <si>
    <t>Linked Cell</t>
  </si>
  <si>
    <t>Title</t>
  </si>
  <si>
    <t>TGK_TOC_TEMPLATE_ROW</t>
  </si>
  <si>
    <t>Total_Amounts_Margin</t>
  </si>
  <si>
    <t>Heading 1</t>
  </si>
  <si>
    <t>40% - Accent4</t>
  </si>
  <si>
    <t>Amounts_right_nolocked</t>
  </si>
  <si>
    <t>40% - Accent5</t>
  </si>
  <si>
    <t>40% - Accent6</t>
  </si>
  <si>
    <t>Status Check</t>
  </si>
  <si>
    <t>Heading 4</t>
  </si>
  <si>
    <t>Heading 3</t>
  </si>
  <si>
    <t>60% - Accent1</t>
  </si>
  <si>
    <t>Heading 2</t>
  </si>
  <si>
    <t>Comma</t>
  </si>
  <si>
    <t>Subtotal_head</t>
  </si>
  <si>
    <t>C_Amount_ACT</t>
  </si>
  <si>
    <t>C00 - Corporate USA</t>
  </si>
  <si>
    <t>X011 - Home SW</t>
  </si>
  <si>
    <t>2014 Budget</t>
  </si>
  <si>
    <t>Spyware Removal</t>
  </si>
  <si>
    <t>2013 Actual</t>
  </si>
  <si>
    <t>Utilities</t>
  </si>
  <si>
    <t>Multimedia Player</t>
  </si>
  <si>
    <t>Dic</t>
  </si>
  <si>
    <t/>
  </si>
  <si>
    <t>Ago</t>
  </si>
  <si>
    <t>Mag</t>
  </si>
  <si>
    <t>Set</t>
  </si>
  <si>
    <t>Giu</t>
  </si>
  <si>
    <t xml:space="preserve"> + </t>
  </si>
  <si>
    <t>Ott</t>
  </si>
  <si>
    <t>Operating System</t>
  </si>
  <si>
    <t>Games</t>
  </si>
  <si>
    <t>Antivirus</t>
  </si>
  <si>
    <t>Home SW</t>
  </si>
  <si>
    <t>Lug</t>
  </si>
  <si>
    <t>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</si>
</sst>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0.0%"/>
    <numFmt numFmtId="165" formatCode="dd/mm/yy;@"/>
    <numFmt numFmtId="166" formatCode="#,##0.00,"/>
    <numFmt numFmtId="167" formatCode="#,##0,"/>
    <numFmt numFmtId="168" formatCode="mm/dd/yy;@"/>
    <numFmt numFmtId="169" formatCode="_(&quot;€&quot;* #,##0.00_);_(&quot;€&quot;* \(#,##0.00\);_(&quot;€&quot;* &quot;-&quot;??_);_(@_)"/>
    <numFmt numFmtId="170" formatCode="_(&quot;€&quot;* #,##0_);_(&quot;€&quot;* \(#,##0\);_(&quot;€&quot;* &quot;-&quot;_);_(@_)"/>
  </numFmts>
  <fonts count="1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27"/>
      <name val="Arial"/>
      <family val="2"/>
    </font>
    <font>
      <b/>
      <sz val="10"/>
      <name val="Tahoma"/>
      <family val="2"/>
    </font>
    <font>
      <sz val="10"/>
      <name val="Arial"/>
      <family val="2"/>
    </font>
    <font>
      <i/>
      <sz val="10"/>
      <name val="Tahoma"/>
      <family val="2"/>
    </font>
    <font>
      <b/>
      <sz val="9"/>
      <color indexed="9"/>
      <name val="Tahoma"/>
      <family val="2"/>
    </font>
    <font>
      <sz val="8"/>
      <color indexed="8"/>
      <name val="Tahoma"/>
      <family val="2"/>
    </font>
    <font>
      <sz val="10"/>
      <color indexed="9"/>
      <name val="Tahoma"/>
      <family val="2"/>
    </font>
    <font>
      <sz val="8"/>
      <name val="Arial"/>
      <family val="2"/>
    </font>
    <font>
      <b/>
      <sz val="11"/>
      <color indexed="56"/>
      <name val="Tahoma"/>
      <family val="2"/>
    </font>
    <font>
      <sz val="9"/>
      <color theme="0"/>
      <name val="Tahoma"/>
      <family val="2"/>
    </font>
    <font>
      <sz val="10"/>
      <color theme="3"/>
      <name val="Tahoma"/>
      <family val="2"/>
    </font>
    <font>
      <b/>
      <sz val="10"/>
      <color theme="3"/>
      <name val="Tahoma"/>
      <family val="2"/>
    </font>
    <font>
      <b/>
      <sz val="11"/>
      <color theme="3"/>
      <name val="Tahoma"/>
      <family val="2"/>
    </font>
    <font>
      <i/>
      <sz val="10"/>
      <color theme="3"/>
      <name val="Tahoma"/>
      <family val="2"/>
    </font>
    <font>
      <b/>
      <sz val="9"/>
      <color theme="0"/>
      <name val="Tahoma"/>
      <family val="2"/>
    </font>
    <font>
      <u/>
      <sz val="10"/>
      <color theme="3"/>
      <name val="Tahoma"/>
      <family val="2"/>
    </font>
    <font>
      <sz val="12"/>
      <color rgb="FF094A74"/>
      <name val="Tahoma"/>
      <family val="2"/>
    </font>
    <font>
      <b/>
      <sz val="10"/>
      <color rgb="FF094A74"/>
      <name val="Tahoma"/>
      <family val="2"/>
    </font>
    <font>
      <sz val="10"/>
      <color rgb="FF002060"/>
      <name val="Tahoma"/>
      <family val="2"/>
    </font>
    <font>
      <b/>
      <sz val="10"/>
      <color indexed="56"/>
      <name val="Tahoma"/>
      <family val="2"/>
    </font>
    <font>
      <sz val="11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theme="3"/>
      <name val="Tahoma"/>
      <family val="2"/>
    </font>
    <font>
      <b/>
      <sz val="8"/>
      <color theme="3"/>
      <name val="Tahoma"/>
      <family val="2"/>
    </font>
    <font>
      <sz val="11"/>
      <color theme="0"/>
      <name val="Calibri"/>
      <family val="2"/>
      <scheme val="minor"/>
    </font>
    <font>
      <b/>
      <sz val="14"/>
      <color indexed="56"/>
      <name val="Tahoma"/>
      <family val="2"/>
    </font>
    <font>
      <u/>
      <sz val="8"/>
      <color theme="3"/>
      <name val="Tahoma"/>
      <family val="2"/>
    </font>
    <font>
      <sz val="9"/>
      <color indexed="56"/>
      <name val="Tahoma"/>
      <family val="2"/>
    </font>
    <font>
      <u/>
      <sz val="9"/>
      <color indexed="56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sz val="8"/>
      <color rgb="FF1F497D"/>
      <name val="Tahoma"/>
      <family val="2"/>
    </font>
    <font>
      <sz val="10"/>
      <color theme="0"/>
      <name val="Tahoma"/>
      <family val="2"/>
    </font>
    <font>
      <b/>
      <sz val="10"/>
      <color theme="0"/>
      <name val="Tahoma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u/>
      <sz val="10"/>
      <color rgb="FF1F497D"/>
      <name val="Tahoma"/>
    </font>
    <font>
      <b/>
      <sz val="8"/>
      <color rgb="FF1F497D"/>
      <name val="Tahoma"/>
    </font>
    <font>
      <sz val="8"/>
      <color rgb="FFFFFFFF"/>
      <name val="Tahoma"/>
    </font>
    <font>
      <b/>
      <sz val="11"/>
      <color rgb="FF1F497D"/>
      <name val="Calibri"/>
    </font>
    <font>
      <sz val="8"/>
      <color rgb="FF1F497D"/>
      <name val="Tahoma"/>
    </font>
    <font>
      <sz val="8"/>
      <color rgb="FF1F497D"/>
      <name val="Tahoma"/>
    </font>
    <font>
      <b/>
      <sz val="11"/>
      <color rgb="FF3F3F3F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b/>
      <sz val="11"/>
      <color rgb="FFFFFFFF"/>
      <name val="Calibri"/>
    </font>
    <font>
      <sz val="8"/>
      <color rgb="FF1F497D"/>
      <name val="Tahoma"/>
    </font>
    <font>
      <b/>
      <sz val="8"/>
      <color rgb="FF1F497D"/>
      <name val="Tahoma"/>
    </font>
    <font>
      <u/>
      <sz val="8"/>
      <color rgb="FF1F497D"/>
      <name val="Tahoma"/>
    </font>
    <font>
      <b/>
      <sz val="8"/>
      <color rgb="FF1F497D"/>
      <name val="Tahoma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9C6500"/>
      <name val="Calibri"/>
    </font>
    <font>
      <sz val="11"/>
      <color rgb="FFFFFFFF"/>
      <name val="Calibri"/>
    </font>
    <font>
      <b/>
      <sz val="11"/>
      <color rgb="FFFA7D00"/>
      <name val="Calibri"/>
    </font>
    <font>
      <b/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000000"/>
      <name val="Calibri"/>
    </font>
    <font>
      <b/>
      <sz val="8"/>
      <color rgb="FF1F497D"/>
      <name val="Tahoma"/>
    </font>
    <font>
      <sz val="8"/>
      <color rgb="FF1F497D"/>
      <name val="Tahoma"/>
    </font>
    <font>
      <sz val="8"/>
      <color rgb="FF1F497D"/>
      <name val="Tahoma"/>
    </font>
    <font>
      <i/>
      <sz val="11"/>
      <color rgb="FF7F7F7F"/>
      <name val="Calibri"/>
    </font>
    <font>
      <b/>
      <sz val="8"/>
      <color rgb="FF1F497D"/>
      <name val="Tahoma"/>
    </font>
    <font>
      <sz val="11"/>
      <color rgb="FF006100"/>
      <name val="Calibri"/>
    </font>
    <font>
      <sz val="8"/>
      <color rgb="FF1F497D"/>
      <name val="Tahoma"/>
    </font>
    <font>
      <b/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000000"/>
      <name val="Calibri"/>
    </font>
    <font>
      <sz val="8"/>
      <color rgb="FF1F497D"/>
      <name val="Tahoma"/>
    </font>
    <font>
      <sz val="11"/>
      <color rgb="FF000000"/>
      <name val="Calibri"/>
    </font>
    <font>
      <sz val="11"/>
      <color rgb="FF9C0006"/>
      <name val="Calibri"/>
    </font>
    <font>
      <sz val="11"/>
      <color rgb="FFFFFFFF"/>
      <name val="Calibri"/>
    </font>
    <font>
      <sz val="11"/>
      <color rgb="FF000000"/>
      <name val="Calibri"/>
    </font>
    <font>
      <sz val="8"/>
      <color rgb="FF1F497D"/>
      <name val="Tahoma"/>
    </font>
    <font>
      <b/>
      <sz val="8"/>
      <color rgb="FF1F497D"/>
      <name val="Tahoma"/>
    </font>
    <font>
      <sz val="11"/>
      <color rgb="FF000000"/>
      <name val="Calibri"/>
    </font>
    <font>
      <sz val="11"/>
      <color rgb="FF3F3F76"/>
      <name val="Calibri"/>
    </font>
    <font>
      <u/>
      <sz val="8"/>
      <color rgb="FF1F497D"/>
      <name val="Tahoma"/>
    </font>
    <font>
      <b/>
      <sz val="8"/>
      <color rgb="FF1F497D"/>
      <name val="Tahoma"/>
    </font>
    <font>
      <sz val="11"/>
      <color rgb="FFFFFFFF"/>
      <name val="Calibri"/>
    </font>
    <font>
      <sz val="11"/>
      <color rgb="FFFF0000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1F497D"/>
      <name val="Calibri"/>
    </font>
    <font>
      <sz val="11"/>
      <color rgb="FFFA7D00"/>
      <name val="Calibri"/>
    </font>
    <font>
      <b/>
      <sz val="18"/>
      <color rgb="FF1F497D"/>
      <name val="Cambria"/>
    </font>
    <font>
      <b/>
      <i/>
      <sz val="11"/>
      <color rgb="FF000000"/>
      <name val="Calibri"/>
    </font>
    <font>
      <b/>
      <sz val="8"/>
      <color rgb="FF1F497D"/>
      <name val="Tahoma"/>
    </font>
    <font>
      <b/>
      <sz val="15"/>
      <color rgb="FF1F497D"/>
      <name val="Calibri"/>
    </font>
    <font>
      <sz val="11"/>
      <color rgb="FF000000"/>
      <name val="Calibri"/>
    </font>
    <font>
      <sz val="8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0"/>
      <color rgb="FF1F497D"/>
      <name val="Webdings"/>
    </font>
    <font>
      <b/>
      <sz val="11"/>
      <color rgb="FF1F497D"/>
      <name val="Calibri"/>
    </font>
    <font>
      <b/>
      <sz val="11"/>
      <color rgb="FF1F497D"/>
      <name val="Calibri"/>
    </font>
    <font>
      <sz val="11"/>
      <color rgb="FFFFFFFF"/>
      <name val="Calibri"/>
    </font>
    <font>
      <b/>
      <sz val="13"/>
      <color rgb="FF1F497D"/>
      <name val="Calibri"/>
    </font>
    <font>
      <b/>
      <sz val="8"/>
      <color rgb="FF1F497D"/>
      <name val="Tahoma"/>
    </font>
    <font>
      <b/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sz val="8"/>
      <color rgb="FF1F497D"/>
      <name val="Tahoma"/>
    </font>
    <font>
      <sz val="8"/>
      <color rgb="FF1F497D"/>
      <name val="Tahoma"/>
    </font>
    <font>
      <sz val="11"/>
      <color rgb="FF000000"/>
      <name val="Calibri"/>
    </font>
    <font>
      <u/>
      <sz val="8"/>
      <color rgb="FF1F497D"/>
      <name val="Tahoma"/>
    </font>
    <font>
      <b/>
      <sz val="8"/>
      <color rgb="FF1F497D"/>
      <name val="Tahoma"/>
    </font>
    <font>
      <b/>
      <sz val="8"/>
      <color rgb="FF1F497D"/>
      <name val="Tahoma"/>
    </font>
    <font>
      <b/>
      <sz val="8"/>
      <color rgb="FF1F497D"/>
      <name val="Tahoma"/>
    </font>
    <font>
      <b/>
      <sz val="8"/>
      <color rgb="FF1F497D"/>
      <name val="Tahoma"/>
    </font>
    <font>
      <b/>
      <sz val="11"/>
      <name val="Calibri"/>
    </font>
    <font>
      <b/>
      <sz val="11"/>
      <color rgb="FF0000FF"/>
      <name val="Calibri"/>
    </font>
    <font>
      <i/>
      <sz val="11"/>
      <name val="Calibri"/>
    </font>
    <font>
      <sz val="8"/>
      <color rgb="FF1F497D"/>
      <name val="Tahoma"/>
    </font>
  </fonts>
  <fills count="66">
    <fill>
      <patternFill patternType="none"/>
    </fill>
    <fill>
      <patternFill patternType="gray125"/>
    </fill>
    <fill>
      <patternFill patternType="solid">
        <fgColor indexed="26"/>
        <bgColor indexed="26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6"/>
        <bgColor indexed="56"/>
      </patternFill>
    </fill>
    <fill>
      <patternFill patternType="solid">
        <fgColor indexed="62"/>
        <bgColor indexed="12"/>
      </patternFill>
    </fill>
    <fill>
      <patternFill patternType="solid">
        <fgColor theme="2"/>
        <bgColor indexed="26"/>
      </patternFill>
    </fill>
    <fill>
      <patternFill patternType="solid">
        <fgColor theme="0"/>
        <bgColor theme="0"/>
      </patternFill>
    </fill>
    <fill>
      <patternFill patternType="solid">
        <fgColor theme="8" tint="0.79998168889431442"/>
        <bgColor rgb="FFD8EBF6"/>
      </patternFill>
    </fill>
    <fill>
      <patternFill patternType="solid">
        <fgColor rgb="FF094A74"/>
        <bgColor rgb="FF094A74"/>
      </patternFill>
    </fill>
    <fill>
      <patternFill patternType="solid">
        <fgColor theme="0" tint="-0.14996795556505021"/>
        <bgColor theme="0" tint="-0.2499465926084170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none"/>
    </fill>
    <fill>
      <patternFill patternType="solid">
        <fgColor rgb="FFEAF0F6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8"/>
      </patternFill>
    </fill>
    <fill>
      <patternFill patternType="solid">
        <fgColor theme="7"/>
      </patternFill>
    </fill>
    <fill>
      <patternFill patternType="solid">
        <fgColor rgb="FFFFEB9C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8F8F2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rgb="FFFFFFCC"/>
      </patternFill>
    </fill>
  </fills>
  <borders count="44">
    <border>
      <left/>
      <right/>
      <top/>
      <bottom/>
      <diagonal/>
    </border>
    <border>
      <left/>
      <right/>
      <top style="dotted">
        <color indexed="55"/>
      </top>
      <bottom style="dotted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55"/>
      </left>
      <right style="medium">
        <color indexed="55"/>
      </right>
      <top style="medium">
        <color indexed="55"/>
      </top>
      <bottom style="medium">
        <color indexed="55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dotted">
        <color indexed="55"/>
      </top>
      <bottom style="dotted">
        <color indexed="55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rgb="FF094A74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double">
        <color theme="3" tint="0.79998168889431442"/>
      </bottom>
      <diagonal/>
    </border>
    <border>
      <left/>
      <right/>
      <top/>
      <bottom style="thin">
        <color theme="3" tint="0.7999816888943144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ck">
        <color theme="3" tint="0.39994506668294322"/>
      </bottom>
      <diagonal/>
    </border>
    <border>
      <left/>
      <right/>
      <top/>
      <bottom style="medium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999816888943144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n">
        <color theme="3" tint="0.79998168889431442"/>
      </bottom>
      <diagonal/>
    </border>
  </borders>
  <cellStyleXfs count="67">
    <xf numFmtId="0" fontId="0" fillId="0" borderId="0"/>
    <xf numFmtId="9" fontId="2" fillId="8" borderId="1" applyNumberFormat="0" applyFont="0" applyBorder="0" applyAlignment="0" applyProtection="0">
      <alignment horizontal="center"/>
    </xf>
    <xf numFmtId="9" fontId="11" fillId="9" borderId="0" applyNumberFormat="0" applyAlignment="0">
      <alignment horizontal="center"/>
    </xf>
    <xf numFmtId="3" fontId="12" fillId="0" borderId="6" applyFill="0" applyProtection="0">
      <alignment horizontal="right"/>
    </xf>
    <xf numFmtId="0" fontId="13" fillId="3" borderId="3" applyNumberFormat="0" applyFill="0" applyBorder="0" applyAlignment="0" applyProtection="0">
      <alignment horizontal="center"/>
    </xf>
    <xf numFmtId="0" fontId="3" fillId="4" borderId="2" applyNumberFormat="0" applyFont="0" applyFill="0" applyAlignment="0" applyProtection="0"/>
    <xf numFmtId="9" fontId="14" fillId="5" borderId="3" applyNumberFormat="0" applyFill="0" applyBorder="0" applyAlignment="0" applyProtection="0">
      <alignment horizontal="left" indent="2"/>
    </xf>
    <xf numFmtId="0" fontId="15" fillId="4" borderId="3" applyNumberFormat="0" applyFill="0" applyBorder="0" applyAlignment="0" applyProtection="0"/>
    <xf numFmtId="3" fontId="4" fillId="10" borderId="4" applyNumberFormat="0" applyFont="0" applyBorder="0" applyAlignment="0" applyProtection="0">
      <alignment horizontal="right"/>
    </xf>
    <xf numFmtId="0" fontId="5" fillId="4" borderId="3" applyNumberFormat="0" applyFont="0" applyBorder="0" applyAlignment="0" applyProtection="0"/>
    <xf numFmtId="0" fontId="16" fillId="11" borderId="7" applyNumberFormat="0" applyProtection="0">
      <alignment horizontal="center" vertical="center" wrapText="1"/>
    </xf>
    <xf numFmtId="0" fontId="17" fillId="8" borderId="1" applyNumberFormat="0" applyFill="0" applyBorder="0" applyProtection="0">
      <alignment horizontal="left" indent="2"/>
    </xf>
    <xf numFmtId="9" fontId="3" fillId="3" borderId="3" applyNumberFormat="0" applyFont="0" applyFill="0" applyBorder="0" applyProtection="0">
      <alignment horizontal="left" indent="1"/>
    </xf>
    <xf numFmtId="9" fontId="18" fillId="2" borderId="8" applyNumberFormat="0" applyFill="0" applyProtection="0"/>
    <xf numFmtId="164" fontId="6" fillId="6" borderId="1" applyFont="0" applyFill="0" applyBorder="0" applyAlignment="0" applyProtection="0">
      <alignment horizontal="center"/>
    </xf>
    <xf numFmtId="10" fontId="6" fillId="2" borderId="1" applyFont="0" applyFill="0" applyBorder="0" applyAlignment="0" applyProtection="0">
      <alignment horizontal="center"/>
    </xf>
    <xf numFmtId="9" fontId="5" fillId="3" borderId="3" applyFont="0" applyFill="0" applyBorder="0" applyAlignment="0" applyProtection="0">
      <alignment horizontal="center"/>
    </xf>
    <xf numFmtId="9" fontId="19" fillId="2" borderId="0" applyNumberFormat="0" applyFill="0">
      <alignment horizontal="left"/>
    </xf>
    <xf numFmtId="0" fontId="3" fillId="4" borderId="5" applyNumberFormat="0" applyFont="0" applyBorder="0" applyAlignment="0" applyProtection="0"/>
    <xf numFmtId="3" fontId="7" fillId="7" borderId="9" applyNumberFormat="0" applyFont="0" applyFill="0" applyProtection="0">
      <alignment horizontal="left"/>
    </xf>
    <xf numFmtId="0" fontId="13" fillId="12" borderId="2" applyNumberFormat="0"/>
    <xf numFmtId="9" fontId="3" fillId="3" borderId="3" applyNumberFormat="0" applyFill="0" applyBorder="0" applyAlignment="0" applyProtection="0">
      <alignment horizontal="center"/>
    </xf>
    <xf numFmtId="49" fontId="8" fillId="2" borderId="1" applyFill="0" applyBorder="0" applyProtection="0">
      <alignment horizontal="left" wrapText="1"/>
    </xf>
    <xf numFmtId="9" fontId="6" fillId="2" borderId="1" applyNumberFormat="0" applyFont="0" applyFill="0" applyBorder="0" applyProtection="0">
      <alignment horizontal="center"/>
    </xf>
    <xf numFmtId="165" fontId="1" fillId="0" borderId="0" applyFont="0" applyFill="0" applyBorder="0" applyAlignment="0"/>
    <xf numFmtId="4" fontId="6" fillId="8" borderId="1" applyFont="0" applyFill="0" applyBorder="0" applyAlignment="0" applyProtection="0">
      <alignment horizontal="center"/>
    </xf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9" fontId="1" fillId="0" borderId="0" applyFont="0" applyFill="0" applyBorder="0" applyAlignment="0" applyProtection="0"/>
    <xf numFmtId="10" fontId="1" fillId="0" borderId="0" applyFont="0" applyFill="0" applyBorder="0" applyAlignment="0"/>
    <xf numFmtId="166" fontId="25" fillId="25" borderId="10" applyNumberFormat="0" applyProtection="0">
      <alignment horizontal="center" vertical="center" wrapText="1"/>
    </xf>
    <xf numFmtId="9" fontId="1" fillId="0" borderId="11" applyNumberFormat="0" applyFont="0" applyFill="0" applyAlignment="0"/>
    <xf numFmtId="166" fontId="25" fillId="0" borderId="12" applyNumberFormat="0" applyFill="0" applyProtection="0">
      <alignment horizontal="center" vertical="center" wrapText="1"/>
    </xf>
    <xf numFmtId="166" fontId="1" fillId="25" borderId="13" applyNumberFormat="0" applyFont="0" applyAlignment="0"/>
    <xf numFmtId="0" fontId="25" fillId="26" borderId="14" applyFill="0">
      <alignment horizontal="center" vertical="center" wrapText="1"/>
    </xf>
    <xf numFmtId="166" fontId="26" fillId="0" borderId="0" applyNumberFormat="0" applyFill="0" applyBorder="0" applyProtection="0">
      <alignment horizontal="right"/>
    </xf>
    <xf numFmtId="0" fontId="25" fillId="0" borderId="13" applyNumberFormat="0" applyFill="0" applyAlignment="0"/>
    <xf numFmtId="3" fontId="25" fillId="0" borderId="0" applyFill="0" applyBorder="0" applyProtection="0">
      <alignment horizontal="right" vertical="center"/>
    </xf>
    <xf numFmtId="166" fontId="25" fillId="0" borderId="0" applyNumberFormat="0" applyFill="0" applyBorder="0" applyProtection="0">
      <alignment horizontal="left"/>
    </xf>
    <xf numFmtId="0" fontId="25" fillId="0" borderId="0" applyNumberFormat="0" applyFill="0" applyBorder="0" applyProtection="0">
      <alignment horizontal="right" vertical="center" wrapText="1"/>
    </xf>
    <xf numFmtId="9" fontId="1" fillId="0" borderId="0" applyNumberFormat="0" applyFont="0" applyFill="0" applyBorder="0" applyProtection="0">
      <alignment horizontal="left" vertical="center" wrapText="1"/>
    </xf>
    <xf numFmtId="9" fontId="27" fillId="0" borderId="0" applyNumberFormat="0" applyFill="0" applyBorder="0" applyAlignment="0" applyProtection="0"/>
    <xf numFmtId="0" fontId="25" fillId="0" borderId="11" applyNumberFormat="0" applyFill="0">
      <alignment horizontal="left" vertical="center"/>
    </xf>
    <xf numFmtId="9" fontId="29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9" fontId="1" fillId="27" borderId="0" applyNumberFormat="0" applyFont="0" applyBorder="0" applyProtection="0">
      <alignment horizontal="right" vertical="center"/>
    </xf>
    <xf numFmtId="9" fontId="25" fillId="27" borderId="0" applyNumberFormat="0" applyBorder="0" applyProtection="0">
      <alignment horizontal="left" vertical="center" wrapText="1"/>
    </xf>
    <xf numFmtId="166" fontId="26" fillId="27" borderId="15" applyNumberFormat="0" applyFill="0" applyBorder="0" applyAlignment="0"/>
    <xf numFmtId="9" fontId="26" fillId="0" borderId="16" applyNumberFormat="0" applyFill="0">
      <alignment horizontal="left"/>
    </xf>
    <xf numFmtId="9" fontId="29" fillId="0" borderId="0" applyNumberFormat="0" applyFill="0" applyBorder="0" applyAlignment="0"/>
    <xf numFmtId="164" fontId="1" fillId="0" borderId="0" applyFont="0" applyFill="0" applyBorder="0" applyAlignment="0"/>
    <xf numFmtId="167" fontId="1" fillId="0" borderId="0" applyFont="0" applyFill="0" applyBorder="0" applyAlignment="0"/>
    <xf numFmtId="9" fontId="26" fillId="0" borderId="17" applyNumberFormat="0" applyFill="0"/>
    <xf numFmtId="9" fontId="27" fillId="28" borderId="7" applyNumberFormat="0" applyAlignment="0"/>
    <xf numFmtId="9" fontId="32" fillId="0" borderId="0" applyNumberFormat="0" applyFill="0" applyBorder="0" applyAlignment="0"/>
    <xf numFmtId="168" fontId="1" fillId="0" borderId="0" applyFont="0" applyFill="0" applyBorder="0" applyAlignment="0"/>
    <xf numFmtId="0" fontId="33" fillId="0" borderId="0" applyNumberFormat="0" applyFill="0" applyBorder="0" applyProtection="0">
      <alignment horizontal="right"/>
    </xf>
  </cellStyleXfs>
  <cellXfs count="147">
    <xf numFmtId="0" fontId="0" fillId="0" borderId="0" xfId="0" applyBorder="1"/>
    <xf numFmtId="0" fontId="0" fillId="0" borderId="0" xfId="0" applyProtection="1"/>
    <xf numFmtId="0" fontId="10" fillId="0" borderId="0" xfId="0" applyFont="1" applyBorder="1" applyAlignment="1" applyProtection="1">
      <alignment horizontal="left"/>
    </xf>
    <xf numFmtId="0" fontId="17" fillId="0" borderId="0" xfId="11" applyFill="1" applyBorder="1" applyAlignment="1" applyProtection="1"/>
    <xf numFmtId="0" fontId="0" fillId="0" borderId="0" xfId="0" applyAlignment="1" applyProtection="1">
      <alignment horizontal="left"/>
    </xf>
    <xf numFmtId="0" fontId="0" fillId="0" borderId="0" xfId="0" quotePrefix="1" applyProtection="1"/>
    <xf numFmtId="0" fontId="20" fillId="0" borderId="0" xfId="0" applyFont="1" applyProtection="1"/>
    <xf numFmtId="0" fontId="21" fillId="0" borderId="0" xfId="0" quotePrefix="1" applyFont="1" applyBorder="1" applyAlignment="1" applyProtection="1">
      <alignment horizontal="left"/>
    </xf>
    <xf numFmtId="0" fontId="22" fillId="0" borderId="0" xfId="0" applyFont="1"/>
    <xf numFmtId="0" fontId="20" fillId="0" borderId="0" xfId="0" applyFont="1" applyAlignment="1" applyProtection="1">
      <alignment horizontal="left"/>
    </xf>
    <xf numFmtId="0" fontId="12" fillId="0" borderId="0" xfId="0" applyFont="1"/>
    <xf numFmtId="22" fontId="13" fillId="0" borderId="0" xfId="0" applyNumberFormat="1" applyFont="1" applyAlignment="1"/>
    <xf numFmtId="165" fontId="13" fillId="0" borderId="0" xfId="0" applyNumberFormat="1" applyFont="1" applyAlignment="1"/>
    <xf numFmtId="0" fontId="24" fillId="0" borderId="0" xfId="0" quotePrefix="1" applyFont="1" applyProtection="1"/>
    <xf numFmtId="0" fontId="23" fillId="0" borderId="0" xfId="0" quotePrefix="1" applyFont="1" applyProtection="1"/>
    <xf numFmtId="0" fontId="23" fillId="0" borderId="0" xfId="0" quotePrefix="1" applyFont="1"/>
    <xf numFmtId="0" fontId="25" fillId="0" borderId="14" xfId="44" quotePrefix="1" applyFill="1">
      <alignment horizontal="center" vertical="center" wrapText="1"/>
    </xf>
    <xf numFmtId="0" fontId="25" fillId="0" borderId="11" xfId="41" quotePrefix="1" applyNumberFormat="1" applyFont="1" applyAlignment="1">
      <alignment horizontal="left"/>
    </xf>
    <xf numFmtId="0" fontId="28" fillId="0" borderId="0" xfId="0" quotePrefix="1" applyFont="1" applyBorder="1" applyAlignment="1" applyProtection="1">
      <alignment horizontal="left"/>
    </xf>
    <xf numFmtId="0" fontId="30" fillId="0" borderId="0" xfId="0" quotePrefix="1" applyFont="1" applyBorder="1" applyAlignment="1" applyProtection="1">
      <alignment horizontal="left"/>
    </xf>
    <xf numFmtId="0" fontId="0" fillId="0" borderId="0" xfId="0" quotePrefix="1"/>
    <xf numFmtId="0" fontId="25" fillId="0" borderId="14" xfId="44" applyFill="1">
      <alignment horizontal="center" vertical="center" wrapText="1"/>
    </xf>
    <xf numFmtId="0" fontId="27" fillId="28" borderId="7" xfId="63" quotePrefix="1" applyNumberFormat="1" applyAlignment="1">
      <alignment horizontal="center" vertical="center" wrapText="1"/>
    </xf>
    <xf numFmtId="0" fontId="10" fillId="0" borderId="0" xfId="0" applyFont="1" applyBorder="1" applyAlignment="1" applyProtection="1">
      <alignment horizontal="left" vertical="center"/>
    </xf>
    <xf numFmtId="0" fontId="25" fillId="0" borderId="18" xfId="44" quotePrefix="1" applyFill="1" applyBorder="1">
      <alignment horizontal="center" vertical="center" wrapText="1"/>
    </xf>
    <xf numFmtId="0" fontId="27" fillId="28" borderId="19" xfId="63" applyNumberFormat="1" applyBorder="1" applyAlignment="1">
      <alignment horizontal="center" vertical="center" wrapText="1"/>
    </xf>
    <xf numFmtId="4" fontId="25" fillId="0" borderId="11" xfId="47" applyNumberFormat="1" applyBorder="1">
      <alignment horizontal="right" vertical="center"/>
    </xf>
    <xf numFmtId="4" fontId="25" fillId="28" borderId="11" xfId="47" applyNumberFormat="1" applyFill="1" applyBorder="1">
      <alignment horizontal="right" vertical="center"/>
    </xf>
    <xf numFmtId="4" fontId="25" fillId="0" borderId="11" xfId="41" applyNumberFormat="1" applyFont="1" applyAlignment="1">
      <alignment horizontal="right" vertical="center"/>
    </xf>
    <xf numFmtId="4" fontId="27" fillId="28" borderId="11" xfId="41" applyNumberFormat="1" applyFont="1" applyFill="1" applyAlignment="1">
      <alignment horizontal="right" vertical="center"/>
    </xf>
    <xf numFmtId="4" fontId="34" fillId="0" borderId="11" xfId="41" applyNumberFormat="1" applyFont="1" applyAlignment="1">
      <alignment horizontal="right" vertical="center"/>
    </xf>
    <xf numFmtId="0" fontId="27" fillId="0" borderId="0" xfId="0" applyFont="1"/>
    <xf numFmtId="0" fontId="35" fillId="0" borderId="0" xfId="0" applyFont="1"/>
    <xf numFmtId="0" fontId="36" fillId="0" borderId="0" xfId="0" quotePrefix="1" applyFont="1"/>
    <xf numFmtId="0" fontId="36" fillId="0" borderId="0" xfId="0" applyFont="1"/>
    <xf numFmtId="0" fontId="37" fillId="0" borderId="0" xfId="0" applyFont="1"/>
    <xf numFmtId="0" fontId="38" fillId="0" borderId="0" xfId="0" quotePrefix="1" applyFont="1"/>
    <xf numFmtId="14" fontId="0" fillId="0" borderId="0" xfId="0" applyNumberFormat="1" applyProtection="1"/>
    <xf numFmtId="49" fontId="40" fillId="30" borderId="22" xfId="0" applyNumberFormat="1" applyFont="1" applyFill="1" applyBorder="1" applyAlignment="1">
      <alignment horizontal="left"/>
    </xf>
    <xf numFmtId="0" fontId="41" fillId="0" borderId="0" xfId="0" applyFont="1"/>
    <xf numFmtId="0" fontId="0" fillId="0" borderId="0" xfId="0" applyAlignment="1">
      <alignment horizontal="left" indent="2"/>
    </xf>
    <xf numFmtId="0" fontId="42" fillId="0" borderId="0" xfId="0" applyFont="1"/>
    <xf numFmtId="0" fontId="43" fillId="30" borderId="0" xfId="0" applyFont="1" applyFill="1" applyAlignment="1">
      <alignment horizontal="left" vertical="center" wrapText="1"/>
    </xf>
    <xf numFmtId="0" fontId="44" fillId="0" borderId="23" xfId="0" applyFont="1" applyBorder="1" applyAlignment="1">
      <alignment horizontal="left" vertical="center"/>
    </xf>
    <xf numFmtId="0" fontId="45" fillId="31" borderId="24" xfId="0" applyFont="1" applyFill="1" applyBorder="1"/>
    <xf numFmtId="164" fontId="0" fillId="0" borderId="0" xfId="0" applyNumberFormat="1"/>
    <xf numFmtId="0" fontId="46" fillId="32" borderId="0" xfId="0" applyFont="1" applyFill="1"/>
    <xf numFmtId="0" fontId="47" fillId="33" borderId="0" xfId="0" applyFont="1" applyFill="1"/>
    <xf numFmtId="0" fontId="48" fillId="34" borderId="0" xfId="0" applyFont="1" applyFill="1"/>
    <xf numFmtId="0" fontId="49" fillId="35" borderId="0" xfId="0" applyFont="1" applyFill="1"/>
    <xf numFmtId="0" fontId="50" fillId="36" borderId="0" xfId="0" applyFont="1" applyFill="1"/>
    <xf numFmtId="0" fontId="51" fillId="37" borderId="25" xfId="0" applyFont="1" applyFill="1" applyBorder="1"/>
    <xf numFmtId="0" fontId="52" fillId="0" borderId="0" xfId="0" applyFont="1" applyAlignment="1">
      <alignment horizontal="right" vertical="center" wrapText="1"/>
    </xf>
    <xf numFmtId="165" fontId="0" fillId="0" borderId="0" xfId="0" applyNumberFormat="1"/>
    <xf numFmtId="9" fontId="0" fillId="0" borderId="0" xfId="0" applyNumberFormat="1"/>
    <xf numFmtId="0" fontId="53" fillId="0" borderId="26" xfId="0" applyFont="1" applyBorder="1" applyAlignment="1">
      <alignment horizontal="center" vertical="center" wrapText="1"/>
    </xf>
    <xf numFmtId="0" fontId="54" fillId="0" borderId="0" xfId="0" applyFont="1"/>
    <xf numFmtId="167" fontId="0" fillId="0" borderId="0" xfId="0" applyNumberFormat="1"/>
    <xf numFmtId="169" fontId="0" fillId="0" borderId="0" xfId="0" applyNumberFormat="1"/>
    <xf numFmtId="0" fontId="55" fillId="0" borderId="0" xfId="0" applyFont="1"/>
    <xf numFmtId="0" fontId="56" fillId="30" borderId="0" xfId="0" applyFont="1" applyFill="1" applyAlignment="1">
      <alignment horizontal="right" vertical="center"/>
    </xf>
    <xf numFmtId="0" fontId="57" fillId="38" borderId="0" xfId="0" applyFont="1" applyFill="1"/>
    <xf numFmtId="0" fontId="58" fillId="39" borderId="0" xfId="0" applyFont="1" applyFill="1"/>
    <xf numFmtId="0" fontId="59" fillId="40" borderId="0" xfId="0" applyFont="1" applyFill="1"/>
    <xf numFmtId="0" fontId="60" fillId="30" borderId="26" xfId="0" applyFont="1" applyFill="1" applyBorder="1" applyAlignment="1">
      <alignment horizontal="center" vertical="center" wrapText="1"/>
    </xf>
    <xf numFmtId="0" fontId="61" fillId="41" borderId="0" xfId="0" applyFont="1" applyFill="1"/>
    <xf numFmtId="0" fontId="62" fillId="42" borderId="0" xfId="0" applyFont="1" applyFill="1"/>
    <xf numFmtId="0" fontId="63" fillId="31" borderId="27" xfId="0" applyFont="1" applyFill="1" applyBorder="1"/>
    <xf numFmtId="0" fontId="64" fillId="30" borderId="22" xfId="0" applyFont="1" applyFill="1" applyBorder="1" applyAlignment="1">
      <alignment horizontal="right"/>
    </xf>
    <xf numFmtId="0" fontId="65" fillId="43" borderId="0" xfId="0" applyFont="1" applyFill="1"/>
    <xf numFmtId="0" fontId="66" fillId="44" borderId="0" xfId="0" applyFont="1" applyFill="1"/>
    <xf numFmtId="0" fontId="0" fillId="30" borderId="0" xfId="0" applyFill="1" applyAlignment="1">
      <alignment horizontal="right" vertical="center"/>
    </xf>
    <xf numFmtId="0" fontId="67" fillId="45" borderId="0" xfId="0" applyFont="1" applyFill="1"/>
    <xf numFmtId="41" fontId="0" fillId="0" borderId="0" xfId="0" applyNumberFormat="1"/>
    <xf numFmtId="0" fontId="68" fillId="0" borderId="26" xfId="0" applyFont="1" applyBorder="1"/>
    <xf numFmtId="0" fontId="69" fillId="0" borderId="0" xfId="0" applyFont="1" applyAlignment="1">
      <alignment horizontal="left"/>
    </xf>
    <xf numFmtId="0" fontId="70" fillId="0" borderId="28" xfId="0" applyNumberFormat="1" applyFont="1" applyBorder="1" applyAlignment="1">
      <alignment horizontal="center" vertical="center" wrapText="1"/>
    </xf>
    <xf numFmtId="0" fontId="71" fillId="0" borderId="0" xfId="0" applyFont="1"/>
    <xf numFmtId="0" fontId="72" fillId="30" borderId="23" xfId="0" applyFont="1" applyFill="1" applyBorder="1" applyAlignment="1">
      <alignment horizontal="left" vertical="center" wrapText="1"/>
    </xf>
    <xf numFmtId="0" fontId="73" fillId="46" borderId="0" xfId="0" applyFont="1" applyFill="1"/>
    <xf numFmtId="0" fontId="74" fillId="47" borderId="29" xfId="0" applyFont="1" applyFill="1" applyBorder="1" applyAlignment="1">
      <alignment horizontal="center" vertical="center" wrapText="1"/>
    </xf>
    <xf numFmtId="0" fontId="75" fillId="0" borderId="0" xfId="0" applyFont="1"/>
    <xf numFmtId="0" fontId="0" fillId="0" borderId="0" xfId="0" applyAlignment="1">
      <alignment horizontal="center" vertical="center" wrapText="1"/>
    </xf>
    <xf numFmtId="9" fontId="0" fillId="0" borderId="0" xfId="0" applyNumberFormat="1"/>
    <xf numFmtId="0" fontId="76" fillId="48" borderId="0" xfId="0" applyFont="1" applyFill="1"/>
    <xf numFmtId="170" fontId="0" fillId="0" borderId="0" xfId="0" applyNumberFormat="1"/>
    <xf numFmtId="0" fontId="77" fillId="49" borderId="0" xfId="0" applyFont="1" applyFill="1"/>
    <xf numFmtId="0" fontId="78" fillId="50" borderId="0" xfId="0" applyFont="1" applyFill="1"/>
    <xf numFmtId="0" fontId="79" fillId="51" borderId="0" xfId="0" applyFont="1" applyFill="1"/>
    <xf numFmtId="0" fontId="80" fillId="52" borderId="0" xfId="0" applyFont="1" applyFill="1"/>
    <xf numFmtId="3" fontId="81" fillId="0" borderId="0" xfId="0" applyNumberFormat="1" applyFont="1" applyAlignment="1">
      <alignment horizontal="right" vertical="center"/>
    </xf>
    <xf numFmtId="0" fontId="82" fillId="53" borderId="0" xfId="0" applyFont="1" applyFill="1"/>
    <xf numFmtId="0" fontId="83" fillId="54" borderId="0" xfId="0" applyFont="1" applyFill="1"/>
    <xf numFmtId="0" fontId="84" fillId="55" borderId="0" xfId="0" applyFont="1" applyFill="1"/>
    <xf numFmtId="0" fontId="85" fillId="56" borderId="0" xfId="0" applyFont="1" applyFill="1"/>
    <xf numFmtId="168" fontId="0" fillId="0" borderId="0" xfId="0" applyNumberFormat="1"/>
    <xf numFmtId="0" fontId="86" fillId="0" borderId="30" xfId="0" applyFont="1" applyBorder="1" applyAlignment="1">
      <alignment horizontal="center" vertical="center" wrapText="1"/>
    </xf>
    <xf numFmtId="0" fontId="0" fillId="0" borderId="23" xfId="0" applyBorder="1"/>
    <xf numFmtId="0" fontId="87" fillId="0" borderId="31" xfId="0" applyFont="1" applyBorder="1" applyAlignment="1">
      <alignment horizontal="left"/>
    </xf>
    <xf numFmtId="10" fontId="0" fillId="0" borderId="0" xfId="0" applyNumberFormat="1"/>
    <xf numFmtId="0" fontId="88" fillId="29" borderId="0" xfId="0" applyNumberFormat="1" applyFont="1" applyFill="1"/>
    <xf numFmtId="0" fontId="89" fillId="57" borderId="27" xfId="0" applyFont="1" applyFill="1" applyBorder="1"/>
    <xf numFmtId="0" fontId="90" fillId="0" borderId="0" xfId="0" applyFont="1"/>
    <xf numFmtId="0" fontId="91" fillId="0" borderId="0" xfId="0" applyFont="1" applyAlignment="1">
      <alignment horizontal="right"/>
    </xf>
    <xf numFmtId="0" fontId="92" fillId="58" borderId="32" xfId="0" applyFont="1" applyFill="1" applyBorder="1"/>
    <xf numFmtId="0" fontId="93" fillId="0" borderId="0" xfId="0" applyFont="1"/>
    <xf numFmtId="0" fontId="94" fillId="0" borderId="33" xfId="0" applyFont="1" applyBorder="1"/>
    <xf numFmtId="0" fontId="95" fillId="0" borderId="0" xfId="0" applyFont="1"/>
    <xf numFmtId="0" fontId="96" fillId="0" borderId="0" xfId="0" applyFont="1" applyAlignment="1">
      <alignment horizontal="right"/>
    </xf>
    <xf numFmtId="0" fontId="0" fillId="59" borderId="34" xfId="0" applyFill="1" applyBorder="1"/>
    <xf numFmtId="0" fontId="0" fillId="0" borderId="0" xfId="0" applyAlignment="1">
      <alignment horizontal="left" vertical="center" wrapText="1"/>
    </xf>
    <xf numFmtId="0" fontId="97" fillId="0" borderId="35" xfId="0" applyFont="1" applyBorder="1"/>
    <xf numFmtId="0" fontId="98" fillId="0" borderId="0" xfId="0" applyFont="1"/>
    <xf numFmtId="0" fontId="99" fillId="0" borderId="0" xfId="0" applyFont="1" applyAlignment="1">
      <alignment horizontal="left" indent="1"/>
    </xf>
    <xf numFmtId="0" fontId="100" fillId="30" borderId="23" xfId="0" applyFont="1" applyFill="1" applyBorder="1" applyAlignment="1">
      <alignment horizontal="right" vertical="center"/>
    </xf>
    <xf numFmtId="0" fontId="101" fillId="0" borderId="36" xfId="0" applyFont="1" applyBorder="1"/>
    <xf numFmtId="0" fontId="102" fillId="60" borderId="0" xfId="0" applyFont="1" applyFill="1"/>
    <xf numFmtId="0" fontId="103" fillId="0" borderId="23" xfId="0" applyFont="1" applyBorder="1" applyAlignment="1">
      <alignment horizontal="right" vertical="center"/>
    </xf>
    <xf numFmtId="0" fontId="104" fillId="61" borderId="0" xfId="0" applyFont="1" applyFill="1"/>
    <xf numFmtId="0" fontId="105" fillId="62" borderId="0" xfId="0" applyFont="1" applyFill="1"/>
    <xf numFmtId="0" fontId="106" fillId="0" borderId="0" xfId="0" applyFont="1"/>
    <xf numFmtId="0" fontId="107" fillId="0" borderId="0" xfId="0" applyFont="1"/>
    <xf numFmtId="0" fontId="108" fillId="0" borderId="37" xfId="0" applyFont="1" applyBorder="1"/>
    <xf numFmtId="0" fontId="109" fillId="63" borderId="0" xfId="0" applyFont="1" applyFill="1"/>
    <xf numFmtId="0" fontId="110" fillId="0" borderId="38" xfId="0" applyFont="1" applyBorder="1"/>
    <xf numFmtId="43" fontId="0" fillId="0" borderId="0" xfId="0" applyNumberFormat="1"/>
    <xf numFmtId="0" fontId="111" fillId="0" borderId="0" xfId="0" applyFont="1" applyAlignment="1">
      <alignment horizontal="left" vertical="center"/>
    </xf>
    <xf numFmtId="0" fontId="0" fillId="47" borderId="33" xfId="0" applyFill="1" applyBorder="1"/>
    <xf numFmtId="0" fontId="112" fillId="0" borderId="39" xfId="0" applyFont="1" applyBorder="1"/>
    <xf numFmtId="3" fontId="113" fillId="64" borderId="41" xfId="0" applyNumberFormat="1" applyFont="1" applyFill="1" applyBorder="1" applyAlignment="1">
      <alignment horizontal="right" vertical="center"/>
    </xf>
    <xf numFmtId="3" fontId="114" fillId="0" borderId="42" xfId="0" applyNumberFormat="1" applyFont="1" applyBorder="1" applyAlignment="1">
      <alignment horizontal="right" vertical="center"/>
    </xf>
    <xf numFmtId="10" fontId="115" fillId="0" borderId="42" xfId="0" applyNumberFormat="1" applyFont="1" applyBorder="1" applyAlignment="1">
      <alignment horizontal="right" vertical="center"/>
    </xf>
    <xf numFmtId="0" fontId="116" fillId="0" borderId="42" xfId="0" applyFont="1" applyBorder="1" applyAlignment="1">
      <alignment horizontal="left"/>
    </xf>
    <xf numFmtId="0" fontId="117" fillId="64" borderId="40" xfId="0" applyNumberFormat="1" applyFont="1" applyFill="1" applyBorder="1" applyAlignment="1">
      <alignment horizontal="center" vertical="center" wrapText="1"/>
    </xf>
    <xf numFmtId="0" fontId="118" fillId="0" borderId="42" xfId="0" applyFont="1" applyBorder="1" applyAlignment="1">
      <alignment horizontal="left"/>
    </xf>
    <xf numFmtId="3" fontId="119" fillId="0" borderId="42" xfId="0" applyNumberFormat="1" applyFont="1" applyBorder="1" applyAlignment="1">
      <alignment horizontal="right" vertical="center"/>
    </xf>
    <xf numFmtId="3" fontId="120" fillId="64" borderId="41" xfId="0" applyNumberFormat="1" applyFont="1" applyFill="1" applyBorder="1" applyAlignment="1">
      <alignment horizontal="right" vertical="center"/>
    </xf>
    <xf numFmtId="0" fontId="121" fillId="0" borderId="42" xfId="0" applyFont="1" applyBorder="1" applyAlignment="1">
      <alignment horizontal="left" vertical="center"/>
    </xf>
    <xf numFmtId="10" fontId="122" fillId="0" borderId="42" xfId="0" applyNumberFormat="1" applyFont="1" applyBorder="1" applyAlignment="1">
      <alignment horizontal="right" vertical="center"/>
    </xf>
    <xf numFmtId="3" fontId="126" fillId="65" borderId="43" xfId="0" applyNumberFormat="1" applyFont="1" applyFill="1" applyBorder="1" applyAlignment="1" applyProtection="1">
      <alignment horizontal="right" vertical="center"/>
      <protection locked="0"/>
    </xf>
    <xf numFmtId="0" fontId="39" fillId="0" borderId="0" xfId="0" applyFont="1" applyAlignment="1">
      <alignment horizontal="center"/>
    </xf>
    <xf numFmtId="0" fontId="17" fillId="0" borderId="0" xfId="11" applyFill="1" applyBorder="1" applyAlignment="1">
      <alignment horizontal="center"/>
    </xf>
    <xf numFmtId="0" fontId="0" fillId="0" borderId="0" xfId="0" applyAlignment="1">
      <alignment horizontal="center"/>
    </xf>
    <xf numFmtId="0" fontId="31" fillId="0" borderId="0" xfId="0" quotePrefix="1" applyFont="1" applyBorder="1" applyAlignment="1" applyProtection="1">
      <alignment horizontal="left"/>
    </xf>
    <xf numFmtId="0" fontId="25" fillId="0" borderId="20" xfId="44" quotePrefix="1" applyFill="1" applyBorder="1" applyAlignment="1">
      <alignment horizontal="center" vertical="center" wrapText="1"/>
    </xf>
    <xf numFmtId="0" fontId="25" fillId="0" borderId="0" xfId="44" quotePrefix="1" applyFill="1" applyBorder="1" applyAlignment="1">
      <alignment horizontal="center" vertical="center" wrapText="1"/>
    </xf>
    <xf numFmtId="0" fontId="25" fillId="0" borderId="21" xfId="44" quotePrefix="1" applyFill="1" applyBorder="1" applyAlignment="1">
      <alignment horizontal="center" vertical="center" wrapText="1"/>
    </xf>
  </cellXfs>
  <cellStyles count="67">
    <cellStyle name="%0." xfId="38"/>
    <cellStyle name="%0.0" xfId="60"/>
    <cellStyle name="%0.00" xfId="39"/>
    <cellStyle name="20% - Accent1" xfId="26" builtinId="30" customBuiltin="1"/>
    <cellStyle name="20% - Accent2" xfId="28" builtinId="34" customBuiltin="1"/>
    <cellStyle name="20% - Accent3" xfId="30" builtinId="38" customBuiltin="1"/>
    <cellStyle name="20% - Accent4" xfId="32" builtinId="42" customBuiltin="1"/>
    <cellStyle name="20% - Accent5" xfId="34" builtinId="46" customBuiltin="1"/>
    <cellStyle name="20% - Accent6" xfId="36" builtinId="50" customBuiltin="1"/>
    <cellStyle name="20% - Colore 7" xfId="1"/>
    <cellStyle name="40% - Accent1" xfId="27" builtinId="31" customBuiltin="1"/>
    <cellStyle name="40% - Accent2" xfId="29" builtinId="35" customBuiltin="1"/>
    <cellStyle name="40% - Accent3" xfId="31" builtinId="39" customBuiltin="1"/>
    <cellStyle name="40% - Accent4" xfId="33" builtinId="43" customBuiltin="1"/>
    <cellStyle name="40% - Accent5" xfId="35" builtinId="47" customBuiltin="1"/>
    <cellStyle name="40% - Accent6" xfId="37" builtinId="51" customBuiltin="1"/>
    <cellStyle name="ACT" xfId="40"/>
    <cellStyle name="Amounts left nolocked" xfId="50"/>
    <cellStyle name="Amounts_Board" xfId="41"/>
    <cellStyle name="Amounts-1000" xfId="61"/>
    <cellStyle name="BDG" xfId="42"/>
    <cellStyle name="Blank" xfId="2"/>
    <cellStyle name="Body" xfId="3"/>
    <cellStyle name="Bold" xfId="4"/>
    <cellStyle name="Border_total" xfId="5"/>
    <cellStyle name="C_Amount_ACT" xfId="43"/>
    <cellStyle name="C_Head" xfId="44"/>
    <cellStyle name="Data(USA)" xfId="65"/>
    <cellStyle name="Date" xfId="24"/>
    <cellStyle name="Font_big" xfId="6"/>
    <cellStyle name="Formula" xfId="45"/>
    <cellStyle name="formula2_fond" xfId="7"/>
    <cellStyle name="Formula3" xfId="8"/>
    <cellStyle name="FST description blank" xfId="51"/>
    <cellStyle name="Group_Color" xfId="9"/>
    <cellStyle name="Head_left" xfId="52"/>
    <cellStyle name="Header" xfId="10"/>
    <cellStyle name="Hyperlink" xfId="11" builtinId="8" customBuiltin="1"/>
    <cellStyle name="Hyperlink for amounts" xfId="59"/>
    <cellStyle name="Hyperlnk row header underlined bold" xfId="53"/>
    <cellStyle name="Indent_1" xfId="12"/>
    <cellStyle name="Matrix_Title" xfId="13"/>
    <cellStyle name="Middle Headers Centered" xfId="54"/>
    <cellStyle name="Normal" xfId="0" builtinId="0" customBuiltin="1"/>
    <cellStyle name="Num 2 decimal" xfId="25"/>
    <cellStyle name="Perc 1 decimal" xfId="14"/>
    <cellStyle name="Perc 2 decimal" xfId="15"/>
    <cellStyle name="Percentage" xfId="16"/>
    <cellStyle name="Place_header" xfId="17"/>
    <cellStyle name="Placeholder" xfId="46"/>
    <cellStyle name="Placeholder Header Underlined bold" xfId="62"/>
    <cellStyle name="Placeholder_column_blank" xfId="63"/>
    <cellStyle name="prova colore" xfId="18"/>
    <cellStyle name="R_Area_font" xfId="47"/>
    <cellStyle name="R_formula" xfId="48"/>
    <cellStyle name="R_head_font" xfId="49"/>
    <cellStyle name="Row Header" xfId="19"/>
    <cellStyle name="Status Check" xfId="64"/>
    <cellStyle name="Subtotal" xfId="20"/>
    <cellStyle name="Subtotal Amounts row fill" xfId="55"/>
    <cellStyle name="Subtotal head row fill" xfId="56"/>
    <cellStyle name="Subtotal_amounts" xfId="57"/>
    <cellStyle name="test" xfId="21"/>
    <cellStyle name="Text" xfId="22"/>
    <cellStyle name="TGK_TOC_PAGE_COLUMN" xfId="66"/>
    <cellStyle name="Work new book placeholder header underlined" xfId="58"/>
    <cellStyle name="Wrap_text" xfId="23"/>
  </cellStyles>
  <dxfs count="3"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38100</xdr:rowOff>
    </xdr:from>
    <xdr:to>
      <xdr:col>2</xdr:col>
      <xdr:colOff>866775</xdr:colOff>
      <xdr:row>1</xdr:row>
      <xdr:rowOff>175325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8100"/>
          <a:ext cx="914400" cy="2324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14</xdr:col>
      <xdr:colOff>723900</xdr:colOff>
      <xdr:row>60</xdr:row>
      <xdr:rowOff>28575</xdr:rowOff>
    </xdr:to>
    <xdr:sp macro="" textlink="">
      <xdr:nvSpPr>
        <xdr:cNvPr id="1028" name="_xssf_cell_comment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1"/>
  <sheetViews>
    <sheetView workbookViewId="0"/>
  </sheetViews>
  <sheetFormatPr defaultRowHeight="15"/>
  <sheetData>
    <row r="1" spans="1:91">
      <c r="A1" s="38" t="s">
        <v>15</v>
      </c>
      <c r="B1" s="39" t="str">
        <f>'Gross Sales'!A65538</f>
        <v>Blank_Row</v>
      </c>
      <c r="C1" s="40" t="s">
        <v>16</v>
      </c>
      <c r="D1" s="41" t="s">
        <v>17</v>
      </c>
      <c r="E1" s="42" t="s">
        <v>18</v>
      </c>
      <c r="F1" s="43" t="s">
        <v>19</v>
      </c>
      <c r="G1" s="44" t="s">
        <v>20</v>
      </c>
      <c r="H1" s="45" t="s">
        <v>21</v>
      </c>
      <c r="I1" s="46" t="s">
        <v>22</v>
      </c>
      <c r="J1" s="47" t="s">
        <v>23</v>
      </c>
      <c r="K1" s="48" t="s">
        <v>24</v>
      </c>
      <c r="L1" s="49" t="s">
        <v>25</v>
      </c>
      <c r="M1" s="50" t="s">
        <v>26</v>
      </c>
      <c r="N1" s="51" t="s">
        <v>27</v>
      </c>
      <c r="O1" s="52" t="s">
        <v>28</v>
      </c>
      <c r="P1" s="53" t="s">
        <v>29</v>
      </c>
      <c r="Q1" s="54" t="s">
        <v>30</v>
      </c>
      <c r="R1" s="55" t="s">
        <v>31</v>
      </c>
      <c r="S1" s="56" t="s">
        <v>32</v>
      </c>
      <c r="T1" s="57" t="s">
        <v>33</v>
      </c>
      <c r="U1" s="58" t="s">
        <v>34</v>
      </c>
      <c r="V1" s="59" t="s">
        <v>35</v>
      </c>
      <c r="W1" s="60" t="s">
        <v>36</v>
      </c>
      <c r="X1" s="61" t="s">
        <v>37</v>
      </c>
      <c r="Y1" s="62" t="s">
        <v>38</v>
      </c>
      <c r="Z1" s="63" t="s">
        <v>39</v>
      </c>
      <c r="AA1" s="64" t="s">
        <v>40</v>
      </c>
      <c r="AB1" s="65" t="s">
        <v>41</v>
      </c>
      <c r="AC1" s="66" t="s">
        <v>42</v>
      </c>
      <c r="AD1" s="67" t="s">
        <v>43</v>
      </c>
      <c r="AE1" s="68" t="s">
        <v>44</v>
      </c>
      <c r="AF1" s="69" t="s">
        <v>45</v>
      </c>
      <c r="AG1" s="70" t="s">
        <v>46</v>
      </c>
      <c r="AH1" s="71" t="s">
        <v>47</v>
      </c>
      <c r="AI1" s="72" t="s">
        <v>48</v>
      </c>
      <c r="AJ1" s="73" t="s">
        <v>49</v>
      </c>
      <c r="AK1" s="74" t="s">
        <v>50</v>
      </c>
      <c r="AL1" s="75" t="s">
        <v>51</v>
      </c>
      <c r="AM1" s="76" t="s">
        <v>52</v>
      </c>
      <c r="AN1" s="77" t="s">
        <v>53</v>
      </c>
      <c r="AO1" s="78" t="s">
        <v>54</v>
      </c>
      <c r="AP1" s="79" t="s">
        <v>55</v>
      </c>
      <c r="AQ1" s="80" t="s">
        <v>56</v>
      </c>
      <c r="AR1" s="81" t="s">
        <v>57</v>
      </c>
      <c r="AS1" s="82" t="s">
        <v>58</v>
      </c>
      <c r="AT1" s="83" t="s">
        <v>59</v>
      </c>
      <c r="AU1" s="84" t="s">
        <v>60</v>
      </c>
      <c r="AV1" s="85" t="s">
        <v>61</v>
      </c>
      <c r="AW1" s="86" t="s">
        <v>62</v>
      </c>
      <c r="AX1" s="87" t="s">
        <v>63</v>
      </c>
      <c r="AY1" s="88" t="s">
        <v>64</v>
      </c>
      <c r="AZ1" s="89" t="s">
        <v>65</v>
      </c>
      <c r="BA1" s="90" t="s">
        <v>66</v>
      </c>
      <c r="BB1" s="91" t="s">
        <v>67</v>
      </c>
      <c r="BC1" s="92" t="s">
        <v>68</v>
      </c>
      <c r="BD1" s="93" t="s">
        <v>69</v>
      </c>
      <c r="BE1" s="94" t="s">
        <v>70</v>
      </c>
      <c r="BF1" s="95" t="s">
        <v>71</v>
      </c>
      <c r="BG1" s="96" t="s">
        <v>72</v>
      </c>
      <c r="BH1" s="97" t="s">
        <v>73</v>
      </c>
      <c r="BI1" s="98" t="s">
        <v>74</v>
      </c>
      <c r="BJ1" s="99" t="s">
        <v>75</v>
      </c>
      <c r="BK1" s="100" t="s">
        <v>76</v>
      </c>
      <c r="BL1" s="101" t="s">
        <v>77</v>
      </c>
      <c r="BM1" s="102" t="s">
        <v>78</v>
      </c>
      <c r="BN1" s="103" t="s">
        <v>79</v>
      </c>
      <c r="BO1" s="104" t="s">
        <v>80</v>
      </c>
      <c r="BP1" s="105" t="s">
        <v>81</v>
      </c>
      <c r="BQ1" s="106" t="s">
        <v>82</v>
      </c>
      <c r="BR1" s="107" t="s">
        <v>83</v>
      </c>
      <c r="BS1" s="108" t="s">
        <v>84</v>
      </c>
      <c r="BT1" s="109" t="s">
        <v>85</v>
      </c>
      <c r="BU1" s="110" t="s">
        <v>86</v>
      </c>
      <c r="BV1" s="111" t="s">
        <v>87</v>
      </c>
      <c r="BW1" s="112" t="s">
        <v>88</v>
      </c>
      <c r="BX1" s="113" t="s">
        <v>89</v>
      </c>
      <c r="BY1" s="114" t="s">
        <v>90</v>
      </c>
      <c r="BZ1" s="115" t="s">
        <v>91</v>
      </c>
      <c r="CA1" s="116" t="s">
        <v>92</v>
      </c>
      <c r="CB1" s="117" t="s">
        <v>93</v>
      </c>
      <c r="CC1" s="118" t="s">
        <v>94</v>
      </c>
      <c r="CD1" s="119" t="s">
        <v>95</v>
      </c>
      <c r="CE1" s="120" t="s">
        <v>96</v>
      </c>
      <c r="CF1" s="121" t="s">
        <v>97</v>
      </c>
      <c r="CG1" s="122" t="s">
        <v>98</v>
      </c>
      <c r="CH1" s="123" t="s">
        <v>99</v>
      </c>
      <c r="CI1" s="124" t="s">
        <v>100</v>
      </c>
      <c r="CJ1" s="125" t="s">
        <v>101</v>
      </c>
      <c r="CK1" s="126" t="s">
        <v>102</v>
      </c>
      <c r="CL1" s="127" t="s">
        <v>103</v>
      </c>
      <c r="CM1" s="128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Y62"/>
  <sheetViews>
    <sheetView showGridLines="0" showRowColHeaders="0" tabSelected="1" zoomScaleNormal="100" workbookViewId="0">
      <pane xSplit="4" ySplit="17" topLeftCell="E18" activePane="bottomRight" state="frozen"/>
      <selection pane="topRight" activeCell="E1" sqref="E1"/>
      <selection pane="bottomLeft" activeCell="A18" sqref="A18"/>
      <selection pane="bottomRight" activeCell="J9" sqref="J9"/>
    </sheetView>
  </sheetViews>
  <sheetFormatPr defaultRowHeight="15"/>
  <cols>
    <col min="1" max="1" width="2.85546875" customWidth="1" collapsed="1"/>
    <col min="2" max="2" width="13.7109375" hidden="1" customWidth="1" collapsed="1"/>
    <col min="3" max="3" width="20.7109375" customWidth="1" collapsed="1"/>
    <col min="4" max="4" width="12" customWidth="1" collapsed="1"/>
    <col min="5" max="5" width="1.28515625" customWidth="1" collapsed="1"/>
    <col min="6" max="14" width="10.5703125" customWidth="1" collapsed="1"/>
    <col min="15" max="18" width="11.7109375" customWidth="1" collapsed="1"/>
    <col min="19" max="19" width="0.85546875" customWidth="1" collapsed="1"/>
    <col min="20" max="20" width="11.5703125" customWidth="1" collapsed="1"/>
    <col min="21" max="21" width="10.85546875" customWidth="1" collapsed="1"/>
    <col min="22" max="22" width="15.5703125" customWidth="1" collapsed="1"/>
    <col min="23" max="23" width="22.42578125" customWidth="1" collapsed="1"/>
    <col min="24" max="24" width="12.85546875" customWidth="1" collapsed="1"/>
    <col min="25" max="25" width="15.85546875" customWidth="1" collapsed="1"/>
    <col min="26" max="26" width="12.42578125" customWidth="1" collapsed="1"/>
    <col min="27" max="27" width="11.140625" customWidth="1" collapsed="1"/>
    <col min="28" max="28" width="17.7109375" customWidth="1" collapsed="1"/>
    <col min="29" max="29" width="17.28515625" customWidth="1" collapsed="1"/>
    <col min="31" max="35" width="17" customWidth="1" collapsed="1"/>
    <col min="36" max="36" width="14.85546875" customWidth="1" collapsed="1"/>
    <col min="37" max="41" width="16.85546875" customWidth="1" collapsed="1"/>
    <col min="42" max="46" width="12.5703125" customWidth="1" collapsed="1"/>
    <col min="47" max="47" width="14.140625" customWidth="1" collapsed="1"/>
    <col min="48" max="48" width="9.85546875" customWidth="1" collapsed="1"/>
    <col min="49" max="49" width="9.7109375" customWidth="1" collapsed="1"/>
    <col min="50" max="50" width="32.42578125" customWidth="1" collapsed="1"/>
    <col min="51" max="51" width="35.28515625" customWidth="1" collapsed="1"/>
    <col min="52" max="52" width="25.5703125" customWidth="1" collapsed="1"/>
    <col min="53" max="53" width="20" customWidth="1" collapsed="1"/>
    <col min="54" max="54" width="14.85546875" customWidth="1" collapsed="1"/>
    <col min="55" max="55" width="24" customWidth="1" collapsed="1"/>
    <col min="56" max="56" width="23.5703125" customWidth="1" collapsed="1"/>
    <col min="57" max="57" width="11" customWidth="1" collapsed="1"/>
    <col min="58" max="58" width="16.5703125" customWidth="1" collapsed="1"/>
    <col min="59" max="59" width="31.85546875" customWidth="1" collapsed="1"/>
    <col min="60" max="60" width="23.42578125" customWidth="1" collapsed="1"/>
    <col min="61" max="61" width="16.140625" customWidth="1" collapsed="1"/>
    <col min="62" max="62" width="30" customWidth="1" collapsed="1"/>
    <col min="63" max="63" width="27" customWidth="1" collapsed="1"/>
    <col min="64" max="67" width="16.140625" customWidth="1" collapsed="1"/>
    <col min="68" max="68" width="18.42578125" customWidth="1" collapsed="1"/>
    <col min="69" max="69" width="13.7109375" customWidth="1" collapsed="1"/>
    <col min="70" max="70" width="23.5703125" customWidth="1" collapsed="1"/>
    <col min="71" max="75" width="21.85546875" customWidth="1" collapsed="1"/>
    <col min="76" max="76" width="15.28515625" customWidth="1" collapsed="1"/>
    <col min="77" max="77" width="28.5703125" customWidth="1" collapsed="1"/>
  </cols>
  <sheetData>
    <row r="1" spans="2:77" ht="7.5" customHeight="1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77">
      <c r="C2" s="1"/>
      <c r="D2" s="5"/>
      <c r="E2" s="1"/>
      <c r="F2" s="5"/>
      <c r="G2" s="1"/>
      <c r="H2" s="1"/>
      <c r="I2" s="1"/>
      <c r="J2" s="1"/>
      <c r="K2" s="1"/>
      <c r="L2" s="1"/>
      <c r="M2" s="1"/>
      <c r="N2" s="1"/>
      <c r="O2" s="1"/>
      <c r="P2" s="1"/>
    </row>
    <row r="3" spans="2:77" hidden="1">
      <c r="C3" s="1"/>
      <c r="D3" s="1"/>
      <c r="F3" s="1"/>
      <c r="H3" s="1"/>
      <c r="I3" s="1"/>
      <c r="J3" s="13"/>
      <c r="K3" s="1"/>
      <c r="L3" s="1"/>
      <c r="M3" s="1"/>
      <c r="N3" s="1"/>
      <c r="O3" s="1"/>
      <c r="P3" s="1"/>
    </row>
    <row r="4" spans="2:77" hidden="1">
      <c r="C4" s="1"/>
      <c r="D4" s="1"/>
      <c r="E4" s="2"/>
      <c r="F4" s="1"/>
      <c r="G4" s="1"/>
      <c r="H4" s="1"/>
      <c r="I4" s="1"/>
      <c r="J4" s="14"/>
      <c r="K4" s="14"/>
      <c r="L4" s="14"/>
      <c r="M4" s="14"/>
      <c r="N4" s="14"/>
      <c r="O4" s="14"/>
      <c r="P4" s="14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</row>
    <row r="5" spans="2:77" hidden="1">
      <c r="C5" s="1"/>
      <c r="D5" s="1"/>
      <c r="E5" s="4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77" hidden="1">
      <c r="C6" s="1"/>
      <c r="D6" s="1"/>
      <c r="E6" s="4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77" hidden="1">
      <c r="C7" s="1"/>
      <c r="D7" s="1"/>
      <c r="E7" s="4"/>
      <c r="H7" s="1"/>
      <c r="I7" s="1"/>
      <c r="J7" s="1"/>
      <c r="K7" s="1"/>
      <c r="L7" s="1"/>
      <c r="M7" s="1"/>
      <c r="N7" s="1"/>
      <c r="O7" s="1"/>
      <c r="P7" s="1"/>
    </row>
    <row r="8" spans="2:77" hidden="1">
      <c r="C8" s="1"/>
      <c r="H8" s="1"/>
      <c r="I8" s="1"/>
      <c r="J8" s="1"/>
      <c r="K8" s="1"/>
      <c r="L8" s="1"/>
      <c r="M8" s="1"/>
      <c r="N8" s="1"/>
      <c r="O8" s="1"/>
      <c r="P8" s="1"/>
    </row>
    <row r="9" spans="2:77" ht="18.75" customHeight="1">
      <c r="B9" s="9"/>
      <c r="C9" s="143" t="s">
        <v>104</v>
      </c>
      <c r="D9" s="143"/>
      <c r="E9" s="143"/>
      <c r="F9" s="18" t="s">
        <v>6</v>
      </c>
      <c r="H9" s="3"/>
      <c r="I9" s="37"/>
      <c r="J9" s="5"/>
      <c r="K9" s="1"/>
      <c r="L9" s="1"/>
      <c r="M9" s="1"/>
      <c r="N9" s="140" t="s">
        <v>13</v>
      </c>
      <c r="O9" s="142"/>
      <c r="P9" s="142"/>
    </row>
    <row r="10" spans="2:77" ht="18" customHeight="1">
      <c r="B10" s="9"/>
      <c r="C10" s="143" t="s">
        <v>105</v>
      </c>
      <c r="D10" s="143"/>
      <c r="E10" s="143"/>
      <c r="G10" s="1"/>
      <c r="H10" s="1"/>
      <c r="I10" s="1"/>
      <c r="J10" s="1"/>
      <c r="K10" s="1"/>
      <c r="L10" s="1"/>
      <c r="M10" s="1"/>
      <c r="N10" s="140" t="s">
        <v>0</v>
      </c>
      <c r="O10" s="141"/>
      <c r="P10" s="141"/>
    </row>
    <row r="11" spans="2:77" ht="18" customHeight="1">
      <c r="B11" s="9"/>
      <c r="C11" s="19" t="s">
        <v>106</v>
      </c>
      <c r="F11" s="1"/>
      <c r="G11" s="1"/>
      <c r="H11" s="3"/>
      <c r="I11" s="1"/>
      <c r="J11" s="1"/>
      <c r="K11" s="1"/>
      <c r="L11" s="1"/>
      <c r="M11" s="1"/>
      <c r="N11" s="140" t="s">
        <v>1</v>
      </c>
      <c r="O11" s="142"/>
      <c r="P11" s="142"/>
    </row>
    <row r="12" spans="2:77" hidden="1">
      <c r="C12" s="6"/>
      <c r="D12" s="7"/>
      <c r="F12" s="1"/>
      <c r="G12" s="1"/>
      <c r="H12" s="3"/>
      <c r="I12" s="1"/>
      <c r="J12" s="1"/>
      <c r="K12" s="1"/>
      <c r="L12" s="1"/>
      <c r="M12" s="1"/>
      <c r="N12" s="1"/>
      <c r="O12" s="1"/>
      <c r="P12" s="1"/>
    </row>
    <row r="13" spans="2:77" hidden="1">
      <c r="C13" s="6"/>
      <c r="E13" s="7"/>
      <c r="F13" s="1"/>
      <c r="G13" s="1"/>
      <c r="H13" s="3"/>
      <c r="I13" s="1"/>
      <c r="J13" s="1"/>
      <c r="K13" s="1"/>
      <c r="L13" s="1"/>
      <c r="M13" s="1"/>
      <c r="N13" s="1"/>
      <c r="O13" s="1"/>
      <c r="P13" s="1"/>
    </row>
    <row r="14" spans="2:77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77" ht="25.5" customHeight="1">
      <c r="C15" s="23" t="s">
        <v>6</v>
      </c>
      <c r="D15" s="24" t="str">
        <f>+D16</f>
        <v>2013 Actual</v>
      </c>
      <c r="E15" s="25"/>
      <c r="F15" s="144" t="str">
        <f>+F16</f>
        <v>2014 Budget</v>
      </c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6"/>
    </row>
    <row r="16" spans="2:77" s="8" customFormat="1" ht="24" hidden="1" customHeight="1" thickTop="1" thickBot="1">
      <c r="C16"/>
      <c r="D16" s="76" t="s">
        <v>108</v>
      </c>
      <c r="E16" s="133" t="s">
        <v>108</v>
      </c>
      <c r="F16" s="76" t="s">
        <v>106</v>
      </c>
      <c r="G16" s="76" t="s">
        <v>106</v>
      </c>
      <c r="H16" s="76" t="s">
        <v>106</v>
      </c>
      <c r="I16" s="76" t="s">
        <v>106</v>
      </c>
      <c r="J16" s="76" t="s">
        <v>106</v>
      </c>
      <c r="K16" s="76" t="s">
        <v>106</v>
      </c>
      <c r="L16" s="76" t="s">
        <v>106</v>
      </c>
      <c r="M16" s="76" t="s">
        <v>106</v>
      </c>
      <c r="N16" s="76" t="s">
        <v>106</v>
      </c>
      <c r="O16" s="76" t="s">
        <v>106</v>
      </c>
      <c r="P16" s="76" t="s">
        <v>106</v>
      </c>
      <c r="Q16" s="76" t="s">
        <v>106</v>
      </c>
      <c r="R16" s="76" t="s">
        <v>112</v>
      </c>
      <c r="S16" s="133" t="s">
        <v>112</v>
      </c>
      <c r="T16" s="76" t="s">
        <v>112</v>
      </c>
      <c r="U16" s="76" t="s">
        <v>112</v>
      </c>
    </row>
    <row r="17" spans="3:21" ht="15" customHeight="1" thickBot="1">
      <c r="C17" s="20"/>
      <c r="D17" s="76" t="s">
        <v>111</v>
      </c>
      <c r="E17" s="133" t="s">
        <v>112</v>
      </c>
      <c r="F17" s="76" t="s">
        <v>124</v>
      </c>
      <c r="G17" s="76" t="s">
        <v>2</v>
      </c>
      <c r="H17" s="76" t="s">
        <v>3</v>
      </c>
      <c r="I17" s="76" t="s">
        <v>4</v>
      </c>
      <c r="J17" s="76" t="s">
        <v>114</v>
      </c>
      <c r="K17" s="76" t="s">
        <v>116</v>
      </c>
      <c r="L17" s="76" t="s">
        <v>123</v>
      </c>
      <c r="M17" s="76" t="s">
        <v>113</v>
      </c>
      <c r="N17" s="76" t="s">
        <v>115</v>
      </c>
      <c r="O17" s="76" t="s">
        <v>118</v>
      </c>
      <c r="P17" s="76" t="s">
        <v>5</v>
      </c>
      <c r="Q17" s="76" t="s">
        <v>111</v>
      </c>
      <c r="R17" s="76" t="s">
        <v>8</v>
      </c>
      <c r="S17" s="133" t="s">
        <v>112</v>
      </c>
      <c r="T17" s="76" t="s">
        <v>9</v>
      </c>
      <c r="U17" s="76" t="s">
        <v>10</v>
      </c>
    </row>
    <row r="18" spans="3:21" ht="15" customHeight="1" thickTop="1">
      <c r="C18" s="132" t="s">
        <v>121</v>
      </c>
      <c r="D18" s="130">
        <v>1897921.088102377</v>
      </c>
      <c r="E18" s="129"/>
      <c r="F18" s="139">
        <v>288022.64803770703</v>
      </c>
      <c r="G18" s="139">
        <v>273129.96115986397</v>
      </c>
      <c r="H18" s="139">
        <v>350526.13085195899</v>
      </c>
      <c r="I18" s="139">
        <v>280420.90468156699</v>
      </c>
      <c r="J18" s="139">
        <v>280420.90468156699</v>
      </c>
      <c r="K18" s="139">
        <v>350526.13085195899</v>
      </c>
      <c r="L18" s="139">
        <v>280420.90468156699</v>
      </c>
      <c r="M18" s="139">
        <v>280420.90468156699</v>
      </c>
      <c r="N18" s="139">
        <v>350526.13085195899</v>
      </c>
      <c r="O18" s="139">
        <v>280420.90468156699</v>
      </c>
      <c r="P18" s="139">
        <v>280420.90468156699</v>
      </c>
      <c r="Q18" s="139">
        <v>350526.13085195899</v>
      </c>
      <c r="R18" s="130">
        <f t="shared" ref="R18:R24" si="0">SUBTOTAL(9,F18:Q18)</f>
        <v>3645782.5606948091</v>
      </c>
      <c r="S18" s="129"/>
      <c r="T18" s="130">
        <f t="shared" ref="T18:T24" si="1">R18-D18</f>
        <v>1747861.4725924321</v>
      </c>
      <c r="U18" s="131">
        <f t="shared" ref="U18:U23" si="2">T18/R18</f>
        <v>0.47942010898733539</v>
      </c>
    </row>
    <row r="19" spans="3:21">
      <c r="C19" s="132" t="s">
        <v>119</v>
      </c>
      <c r="D19" s="130">
        <v>1515573.485997786</v>
      </c>
      <c r="E19" s="129"/>
      <c r="F19" s="139">
        <v>15963.67946137</v>
      </c>
      <c r="G19" s="139">
        <v>19067.728245578</v>
      </c>
      <c r="H19" s="139">
        <v>22282.635914890001</v>
      </c>
      <c r="I19" s="139">
        <v>33257.665544638003</v>
      </c>
      <c r="J19" s="139">
        <v>28601.592368327001</v>
      </c>
      <c r="K19" s="139">
        <v>15963.67946137</v>
      </c>
      <c r="L19" s="139">
        <v>19067.728245578</v>
      </c>
      <c r="M19" s="139">
        <v>7760.1219604389998</v>
      </c>
      <c r="N19" s="139">
        <v>25497.543584201001</v>
      </c>
      <c r="O19" s="139">
        <v>22282.635914890001</v>
      </c>
      <c r="P19" s="139">
        <v>25386.684699013</v>
      </c>
      <c r="Q19" s="139">
        <v>27714.721287172</v>
      </c>
      <c r="R19" s="130">
        <f t="shared" si="0"/>
        <v>262846.41668746597</v>
      </c>
      <c r="S19" s="129"/>
      <c r="T19" s="130">
        <f t="shared" si="1"/>
        <v>-1252727.0693103201</v>
      </c>
      <c r="U19" s="131">
        <f t="shared" si="2"/>
        <v>-4.7660039847522766</v>
      </c>
    </row>
    <row r="20" spans="3:21">
      <c r="C20" s="132" t="s">
        <v>110</v>
      </c>
      <c r="D20" s="130">
        <v>44249.504246388002</v>
      </c>
      <c r="E20" s="129"/>
      <c r="F20" s="139">
        <v>1536.079740502</v>
      </c>
      <c r="G20" s="139">
        <v>453.66085600000002</v>
      </c>
      <c r="H20" s="139">
        <v>652.63491565000004</v>
      </c>
      <c r="I20" s="139">
        <v>222.85094680500001</v>
      </c>
      <c r="J20" s="139">
        <v>214.89198442099999</v>
      </c>
      <c r="K20" s="139">
        <v>222.85094680500001</v>
      </c>
      <c r="L20" s="139">
        <v>222.85094680500001</v>
      </c>
      <c r="M20" s="139">
        <v>79.589623861999996</v>
      </c>
      <c r="N20" s="139">
        <v>214.89198442099999</v>
      </c>
      <c r="O20" s="139">
        <v>1098.336809267</v>
      </c>
      <c r="P20" s="139">
        <v>1106.295771654</v>
      </c>
      <c r="Q20" s="139">
        <v>1321.1877560779999</v>
      </c>
      <c r="R20" s="130">
        <f t="shared" si="0"/>
        <v>7346.1222822700001</v>
      </c>
      <c r="S20" s="129"/>
      <c r="T20" s="130">
        <f t="shared" si="1"/>
        <v>-36903.381964118002</v>
      </c>
      <c r="U20" s="131">
        <f t="shared" si="2"/>
        <v>-5.023518605616597</v>
      </c>
    </row>
    <row r="21" spans="3:21">
      <c r="C21" s="132" t="s">
        <v>107</v>
      </c>
      <c r="D21" s="130">
        <v>41035.881756144998</v>
      </c>
      <c r="E21" s="129"/>
      <c r="F21" s="139">
        <v>684.31410584699995</v>
      </c>
      <c r="G21" s="139">
        <v>638.69316547300002</v>
      </c>
      <c r="H21" s="139">
        <v>593.07222506999994</v>
      </c>
      <c r="I21" s="139">
        <v>547.45128469899998</v>
      </c>
      <c r="J21" s="139">
        <v>501.83034429000003</v>
      </c>
      <c r="K21" s="139">
        <v>593.07222506999994</v>
      </c>
      <c r="L21" s="139">
        <v>593.07222506999994</v>
      </c>
      <c r="M21" s="139">
        <v>593.07222506999994</v>
      </c>
      <c r="N21" s="139">
        <v>593.07222506999994</v>
      </c>
      <c r="O21" s="139">
        <v>593.07222506999994</v>
      </c>
      <c r="P21" s="139">
        <v>593.07222506999994</v>
      </c>
      <c r="Q21" s="139">
        <v>592.38091501400004</v>
      </c>
      <c r="R21" s="130">
        <f t="shared" si="0"/>
        <v>7116.1753908129995</v>
      </c>
      <c r="S21" s="129"/>
      <c r="T21" s="130">
        <f t="shared" si="1"/>
        <v>-33919.706365332</v>
      </c>
      <c r="U21" s="131">
        <f t="shared" si="2"/>
        <v>-4.7665641306596278</v>
      </c>
    </row>
    <row r="22" spans="3:21">
      <c r="C22" s="132" t="s">
        <v>109</v>
      </c>
      <c r="D22" s="130">
        <v>38352.766410700002</v>
      </c>
      <c r="E22" s="129"/>
      <c r="F22" s="139">
        <v>554.29442574100005</v>
      </c>
      <c r="G22" s="139">
        <v>554.29442574100005</v>
      </c>
      <c r="H22" s="139">
        <v>554.29442574100005</v>
      </c>
      <c r="I22" s="139">
        <v>554.29442574100005</v>
      </c>
      <c r="J22" s="139">
        <v>554.29442574100005</v>
      </c>
      <c r="K22" s="139">
        <v>554.29442574100005</v>
      </c>
      <c r="L22" s="139">
        <v>554.29442574100005</v>
      </c>
      <c r="M22" s="139">
        <v>554.29442574100005</v>
      </c>
      <c r="N22" s="139">
        <v>554.29442574100005</v>
      </c>
      <c r="O22" s="139">
        <v>554.29442574100005</v>
      </c>
      <c r="P22" s="139">
        <v>554.29442574100005</v>
      </c>
      <c r="Q22" s="139">
        <v>555.23806021400003</v>
      </c>
      <c r="R22" s="130">
        <f t="shared" si="0"/>
        <v>6652.4767433650004</v>
      </c>
      <c r="S22" s="129"/>
      <c r="T22" s="130">
        <f t="shared" si="1"/>
        <v>-31700.289667335001</v>
      </c>
      <c r="U22" s="131">
        <f t="shared" si="2"/>
        <v>-4.7651860938787962</v>
      </c>
    </row>
    <row r="23" spans="3:21">
      <c r="C23" s="132" t="s">
        <v>120</v>
      </c>
      <c r="D23" s="130">
        <v>405097.80708224903</v>
      </c>
      <c r="E23" s="129"/>
      <c r="F23" s="139">
        <v>3872.0773156499999</v>
      </c>
      <c r="G23" s="139">
        <v>1000000.0000000159</v>
      </c>
      <c r="H23" s="139">
        <v>5189.3819694129998</v>
      </c>
      <c r="I23" s="139">
        <v>5468.810229312</v>
      </c>
      <c r="J23" s="139">
        <v>5828.0751348860003</v>
      </c>
      <c r="K23" s="139">
        <v>6147.4217176060001</v>
      </c>
      <c r="L23" s="139">
        <v>6466.7683003279999</v>
      </c>
      <c r="M23" s="139">
        <v>1995.916142092</v>
      </c>
      <c r="N23" s="139">
        <v>7145.3797886530001</v>
      </c>
      <c r="O23" s="139">
        <v>7424.8080485500004</v>
      </c>
      <c r="P23" s="139">
        <v>7784.0729541250003</v>
      </c>
      <c r="Q23" s="139">
        <v>8063.50121399</v>
      </c>
      <c r="R23" s="130">
        <f t="shared" si="0"/>
        <v>1065386.2128146209</v>
      </c>
      <c r="S23" s="129"/>
      <c r="T23" s="130">
        <f t="shared" si="1"/>
        <v>660288.40573237184</v>
      </c>
      <c r="U23" s="131">
        <f t="shared" si="2"/>
        <v>0.61976436130890988</v>
      </c>
    </row>
    <row r="24" spans="3:21">
      <c r="C24" s="134" t="s">
        <v>117</v>
      </c>
      <c r="D24" s="130"/>
      <c r="E24" s="129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>
        <f t="shared" si="0"/>
        <v>0</v>
      </c>
      <c r="S24" s="129"/>
      <c r="T24" s="130">
        <f t="shared" si="1"/>
        <v>0</v>
      </c>
      <c r="U24" s="131"/>
    </row>
    <row r="25" spans="3:21">
      <c r="C25" s="137" t="s">
        <v>122</v>
      </c>
      <c r="D25" s="135">
        <f>SUBTOTAL(9,D18:D24)</f>
        <v>3942230.5335956449</v>
      </c>
      <c r="E25" s="136"/>
      <c r="F25" s="135">
        <f t="shared" ref="F25:Q25" si="3">SUBTOTAL(9,F18:F24)</f>
        <v>310633.09308681701</v>
      </c>
      <c r="G25" s="135">
        <f t="shared" si="3"/>
        <v>1293844.337852672</v>
      </c>
      <c r="H25" s="135">
        <f t="shared" si="3"/>
        <v>379798.15030272299</v>
      </c>
      <c r="I25" s="135">
        <f t="shared" si="3"/>
        <v>320471.97711276199</v>
      </c>
      <c r="J25" s="135">
        <f t="shared" si="3"/>
        <v>316121.58893923205</v>
      </c>
      <c r="K25" s="135">
        <f t="shared" si="3"/>
        <v>374007.44962855097</v>
      </c>
      <c r="L25" s="135">
        <f t="shared" si="3"/>
        <v>307325.61882508895</v>
      </c>
      <c r="M25" s="135">
        <f t="shared" si="3"/>
        <v>291403.89905877103</v>
      </c>
      <c r="N25" s="135">
        <f t="shared" si="3"/>
        <v>384531.312860045</v>
      </c>
      <c r="O25" s="135">
        <f t="shared" si="3"/>
        <v>312374.05210508493</v>
      </c>
      <c r="P25" s="135">
        <f t="shared" si="3"/>
        <v>315845.32475716999</v>
      </c>
      <c r="Q25" s="135">
        <f t="shared" si="3"/>
        <v>388773.16008442699</v>
      </c>
      <c r="R25" s="135">
        <f>SUBTOTAL(9,F18:Q24)</f>
        <v>4995129.9646133427</v>
      </c>
      <c r="S25" s="136"/>
      <c r="T25" s="135">
        <f>SUBTOTAL(9,T18:T24)</f>
        <v>1052899.4310176987</v>
      </c>
      <c r="U25" s="138">
        <f>T25/R25</f>
        <v>0.21078519247280494</v>
      </c>
    </row>
    <row r="26" spans="3:21" ht="15" customHeight="1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3:21" ht="15" customHeight="1"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3:21" ht="15" customHeight="1">
      <c r="C28" s="23" t="s">
        <v>7</v>
      </c>
      <c r="D28" s="24" t="str">
        <f>+D29</f>
        <v>2013 Actual</v>
      </c>
      <c r="E28" s="25"/>
      <c r="F28" s="144" t="str">
        <f>+F29</f>
        <v>2014 Budget</v>
      </c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6"/>
    </row>
    <row r="29" spans="3:21" s="8" customFormat="1" ht="15" hidden="1" customHeight="1" thickBot="1">
      <c r="C29"/>
      <c r="D29" s="76" t="s">
        <v>108</v>
      </c>
      <c r="E29" s="133" t="s">
        <v>108</v>
      </c>
      <c r="F29" s="76" t="s">
        <v>106</v>
      </c>
      <c r="G29" s="76" t="s">
        <v>106</v>
      </c>
      <c r="H29" s="76" t="s">
        <v>106</v>
      </c>
      <c r="I29" s="76" t="s">
        <v>106</v>
      </c>
      <c r="J29" s="76" t="s">
        <v>106</v>
      </c>
      <c r="K29" s="76" t="s">
        <v>106</v>
      </c>
      <c r="L29" s="76" t="s">
        <v>106</v>
      </c>
      <c r="M29" s="76" t="s">
        <v>106</v>
      </c>
      <c r="N29" s="76" t="s">
        <v>106</v>
      </c>
      <c r="O29" s="76" t="s">
        <v>106</v>
      </c>
      <c r="P29" s="76" t="s">
        <v>106</v>
      </c>
      <c r="Q29" s="76" t="s">
        <v>106</v>
      </c>
      <c r="R29" s="76" t="s">
        <v>112</v>
      </c>
    </row>
    <row r="30" spans="3:21" ht="15" customHeight="1" thickBot="1">
      <c r="C30" s="20"/>
      <c r="D30" s="76" t="s">
        <v>111</v>
      </c>
      <c r="E30" s="133" t="s">
        <v>112</v>
      </c>
      <c r="F30" s="76" t="s">
        <v>124</v>
      </c>
      <c r="G30" s="76" t="s">
        <v>2</v>
      </c>
      <c r="H30" s="76" t="s">
        <v>3</v>
      </c>
      <c r="I30" s="76" t="s">
        <v>4</v>
      </c>
      <c r="J30" s="76" t="s">
        <v>114</v>
      </c>
      <c r="K30" s="76" t="s">
        <v>116</v>
      </c>
      <c r="L30" s="76" t="s">
        <v>123</v>
      </c>
      <c r="M30" s="76" t="s">
        <v>113</v>
      </c>
      <c r="N30" s="76" t="s">
        <v>115</v>
      </c>
      <c r="O30" s="76" t="s">
        <v>118</v>
      </c>
      <c r="P30" s="76" t="s">
        <v>5</v>
      </c>
      <c r="Q30" s="76" t="s">
        <v>111</v>
      </c>
      <c r="R30" s="76" t="s">
        <v>8</v>
      </c>
    </row>
    <row r="31" spans="3:21" ht="15" customHeight="1" thickTop="1">
      <c r="C31" s="132" t="s">
        <v>121</v>
      </c>
      <c r="D31" s="130">
        <v>2875.8628016779999</v>
      </c>
      <c r="E31" s="129"/>
      <c r="F31" s="130">
        <v>240.01887336499999</v>
      </c>
      <c r="G31" s="130">
        <v>227.60830096699999</v>
      </c>
      <c r="H31" s="130">
        <v>292.10510904300003</v>
      </c>
      <c r="I31" s="130">
        <v>233.68408723499999</v>
      </c>
      <c r="J31" s="130">
        <v>233.68408723499999</v>
      </c>
      <c r="K31" s="130">
        <v>292.10510904300003</v>
      </c>
      <c r="L31" s="130">
        <v>233.68408723499999</v>
      </c>
      <c r="M31" s="130">
        <v>233.68408723499999</v>
      </c>
      <c r="N31" s="130">
        <v>292.10510904300003</v>
      </c>
      <c r="O31" s="130">
        <v>233.68408723499999</v>
      </c>
      <c r="P31" s="130">
        <v>233.68408723499999</v>
      </c>
      <c r="Q31" s="130">
        <v>292.10510904300003</v>
      </c>
      <c r="R31" s="130">
        <f t="shared" ref="R31:R37" si="4">SUBTOTAL(9,F31:Q31)</f>
        <v>3038.1521339139999</v>
      </c>
    </row>
    <row r="32" spans="3:21">
      <c r="C32" s="132" t="s">
        <v>119</v>
      </c>
      <c r="D32" s="130">
        <v>5671.8762007329997</v>
      </c>
      <c r="E32" s="129"/>
      <c r="F32" s="130">
        <v>32.847077081000002</v>
      </c>
      <c r="G32" s="130">
        <v>39.234008736</v>
      </c>
      <c r="H32" s="130">
        <v>45.849045091999997</v>
      </c>
      <c r="I32" s="130">
        <v>68.431410585999998</v>
      </c>
      <c r="J32" s="130">
        <v>58.851013104000003</v>
      </c>
      <c r="K32" s="130">
        <v>32.847077081000002</v>
      </c>
      <c r="L32" s="130">
        <v>39.234008736</v>
      </c>
      <c r="M32" s="130">
        <v>15.967329137</v>
      </c>
      <c r="N32" s="130">
        <v>52.464081448999998</v>
      </c>
      <c r="O32" s="130">
        <v>45.849045091999997</v>
      </c>
      <c r="P32" s="130">
        <v>52.235976747000002</v>
      </c>
      <c r="Q32" s="130">
        <v>57.026175488</v>
      </c>
      <c r="R32" s="130">
        <f t="shared" si="4"/>
        <v>540.836248329</v>
      </c>
    </row>
    <row r="33" spans="3:21">
      <c r="C33" s="132" t="s">
        <v>110</v>
      </c>
      <c r="D33" s="130">
        <v>2207.9889216689999</v>
      </c>
      <c r="E33" s="129"/>
      <c r="F33" s="130">
        <v>42.142105364000003</v>
      </c>
      <c r="G33" s="130">
        <v>12.446114018999999</v>
      </c>
      <c r="H33" s="130">
        <v>17.904935956999999</v>
      </c>
      <c r="I33" s="130">
        <v>6.1138805710000002</v>
      </c>
      <c r="J33" s="130">
        <v>5.895527693</v>
      </c>
      <c r="K33" s="130">
        <v>6.1138805710000002</v>
      </c>
      <c r="L33" s="130">
        <v>6.1138805710000002</v>
      </c>
      <c r="M33" s="130">
        <v>2.1835287750000001</v>
      </c>
      <c r="N33" s="130">
        <v>5.895527693</v>
      </c>
      <c r="O33" s="130">
        <v>30.132697099000001</v>
      </c>
      <c r="P33" s="130">
        <v>30.351049976999999</v>
      </c>
      <c r="Q33" s="130">
        <v>36.246577670000001</v>
      </c>
      <c r="R33" s="130">
        <f t="shared" si="4"/>
        <v>201.53970595999999</v>
      </c>
    </row>
    <row r="34" spans="3:21">
      <c r="C34" s="132" t="s">
        <v>107</v>
      </c>
      <c r="D34" s="130">
        <v>373.18122619600001</v>
      </c>
      <c r="E34" s="129"/>
      <c r="F34" s="130">
        <v>3.4215705289999998</v>
      </c>
      <c r="G34" s="130">
        <v>3.1934658269999998</v>
      </c>
      <c r="H34" s="130">
        <v>2.9653611249999998</v>
      </c>
      <c r="I34" s="130">
        <v>2.7372564229999998</v>
      </c>
      <c r="J34" s="130">
        <v>2.5091517209999998</v>
      </c>
      <c r="K34" s="130">
        <v>2.9653611249999998</v>
      </c>
      <c r="L34" s="130">
        <v>2.9653611249999998</v>
      </c>
      <c r="M34" s="130">
        <v>2.9653611249999998</v>
      </c>
      <c r="N34" s="130">
        <v>2.9653611249999998</v>
      </c>
      <c r="O34" s="130">
        <v>2.9653611249999998</v>
      </c>
      <c r="P34" s="130">
        <v>2.9653611249999998</v>
      </c>
      <c r="Q34" s="130">
        <v>2.9619045750000002</v>
      </c>
      <c r="R34" s="130">
        <f t="shared" si="4"/>
        <v>35.580876950000004</v>
      </c>
    </row>
    <row r="35" spans="3:21">
      <c r="C35" s="132" t="s">
        <v>109</v>
      </c>
      <c r="D35" s="130">
        <v>574.12496338000005</v>
      </c>
      <c r="E35" s="129"/>
      <c r="F35" s="130">
        <v>4.5620940389999998</v>
      </c>
      <c r="G35" s="130">
        <v>4.5620940389999998</v>
      </c>
      <c r="H35" s="130">
        <v>4.5620940389999998</v>
      </c>
      <c r="I35" s="130">
        <v>4.5620940389999998</v>
      </c>
      <c r="J35" s="130">
        <v>4.5620940389999998</v>
      </c>
      <c r="K35" s="130">
        <v>4.5620940389999998</v>
      </c>
      <c r="L35" s="130">
        <v>4.5620940389999998</v>
      </c>
      <c r="M35" s="130">
        <v>4.5620940389999998</v>
      </c>
      <c r="N35" s="130">
        <v>4.5620940389999998</v>
      </c>
      <c r="O35" s="130">
        <v>4.5620940389999998</v>
      </c>
      <c r="P35" s="130">
        <v>4.5620940389999998</v>
      </c>
      <c r="Q35" s="130">
        <v>4.5698605780000001</v>
      </c>
      <c r="R35" s="130">
        <f t="shared" si="4"/>
        <v>54.752895007000006</v>
      </c>
    </row>
    <row r="36" spans="3:21">
      <c r="C36" s="132" t="s">
        <v>120</v>
      </c>
      <c r="D36" s="130">
        <v>4210.249731461</v>
      </c>
      <c r="E36" s="129"/>
      <c r="F36" s="130">
        <v>22.126156088999998</v>
      </c>
      <c r="G36" s="130">
        <v>27.828773638000001</v>
      </c>
      <c r="H36" s="130">
        <v>29.653611254000001</v>
      </c>
      <c r="I36" s="130">
        <v>31.250344167000002</v>
      </c>
      <c r="J36" s="130">
        <v>33.303286485000001</v>
      </c>
      <c r="K36" s="130">
        <v>35.128124100999997</v>
      </c>
      <c r="L36" s="130">
        <v>36.952961715999997</v>
      </c>
      <c r="M36" s="130">
        <v>11.405235098</v>
      </c>
      <c r="N36" s="130">
        <v>40.830741648999997</v>
      </c>
      <c r="O36" s="130">
        <v>42.427474562999997</v>
      </c>
      <c r="P36" s="130">
        <v>44.480416880999996</v>
      </c>
      <c r="Q36" s="130">
        <v>46.077149794</v>
      </c>
      <c r="R36" s="130">
        <f t="shared" si="4"/>
        <v>401.46427543499993</v>
      </c>
    </row>
    <row r="37" spans="3:21">
      <c r="C37" s="134" t="s">
        <v>117</v>
      </c>
      <c r="D37" s="130"/>
      <c r="E37" s="129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>
        <f t="shared" si="4"/>
        <v>0</v>
      </c>
    </row>
    <row r="38" spans="3:21">
      <c r="C38" s="137" t="s">
        <v>122</v>
      </c>
      <c r="D38" s="135">
        <f>SUBTOTAL(9,D31:D37)</f>
        <v>15913.283845116999</v>
      </c>
      <c r="E38" s="136"/>
      <c r="F38" s="135">
        <f t="shared" ref="F38:Q38" si="5">SUBTOTAL(9,F31:F37)</f>
        <v>345.11787646699997</v>
      </c>
      <c r="G38" s="135">
        <f t="shared" si="5"/>
        <v>314.87275722599998</v>
      </c>
      <c r="H38" s="135">
        <f t="shared" si="5"/>
        <v>393.04015651000003</v>
      </c>
      <c r="I38" s="135">
        <f t="shared" si="5"/>
        <v>346.77907302099993</v>
      </c>
      <c r="J38" s="135">
        <f t="shared" si="5"/>
        <v>338.80516027700003</v>
      </c>
      <c r="K38" s="135">
        <f t="shared" si="5"/>
        <v>373.72164596000005</v>
      </c>
      <c r="L38" s="135">
        <f t="shared" si="5"/>
        <v>323.512393422</v>
      </c>
      <c r="M38" s="135">
        <f t="shared" si="5"/>
        <v>270.76763540899998</v>
      </c>
      <c r="N38" s="135">
        <f t="shared" si="5"/>
        <v>398.82291499800004</v>
      </c>
      <c r="O38" s="135">
        <f t="shared" si="5"/>
        <v>359.62075915299994</v>
      </c>
      <c r="P38" s="135">
        <f t="shared" si="5"/>
        <v>368.27898600399999</v>
      </c>
      <c r="Q38" s="135">
        <f t="shared" si="5"/>
        <v>438.98677714799999</v>
      </c>
      <c r="R38" s="135">
        <f>SUBTOTAL(9,F31:Q37)</f>
        <v>4272.326135594999</v>
      </c>
    </row>
    <row r="39" spans="3:21" ht="15" customHeight="1"/>
    <row r="40" spans="3:21" ht="15" customHeight="1"/>
    <row r="41" spans="3:21" ht="15" customHeight="1"/>
    <row r="42" spans="3:21" ht="15" customHeight="1">
      <c r="C42" s="23" t="s">
        <v>11</v>
      </c>
    </row>
    <row r="43" spans="3:21" ht="15" customHeight="1">
      <c r="D43" s="24" t="str">
        <f>+D44</f>
        <v>Parametric Budget Scenario (prev)</v>
      </c>
      <c r="E43" s="25"/>
      <c r="F43" s="144" t="str">
        <f>+F44</f>
        <v>Parametric Budget Scenario</v>
      </c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6"/>
    </row>
    <row r="44" spans="3:21" ht="15" hidden="1" customHeight="1" thickBot="1">
      <c r="D44" s="16" t="s">
        <v>108</v>
      </c>
      <c r="E44" s="22" t="s">
        <v>112</v>
      </c>
      <c r="F44" s="16" t="s">
        <v>106</v>
      </c>
      <c r="G44" s="16" t="s">
        <v>106</v>
      </c>
      <c r="H44" s="16" t="s">
        <v>106</v>
      </c>
      <c r="I44" s="16" t="s">
        <v>106</v>
      </c>
      <c r="J44" s="16" t="s">
        <v>106</v>
      </c>
      <c r="K44" s="16" t="s">
        <v>106</v>
      </c>
      <c r="L44" s="16" t="s">
        <v>106</v>
      </c>
      <c r="M44" s="16" t="s">
        <v>106</v>
      </c>
      <c r="N44" s="16" t="s">
        <v>106</v>
      </c>
      <c r="O44" s="16" t="s">
        <v>106</v>
      </c>
      <c r="P44" s="16" t="s">
        <v>106</v>
      </c>
      <c r="Q44" s="16" t="s">
        <v>106</v>
      </c>
      <c r="R44" s="21"/>
    </row>
    <row r="45" spans="3:21" ht="15" customHeight="1" thickBot="1">
      <c r="D45" s="16" t="s">
        <v>111</v>
      </c>
      <c r="E45" s="22" t="s">
        <v>112</v>
      </c>
      <c r="F45" s="16" t="s">
        <v>124</v>
      </c>
      <c r="G45" s="16" t="s">
        <v>2</v>
      </c>
      <c r="H45" s="16" t="s">
        <v>3</v>
      </c>
      <c r="I45" s="16" t="s">
        <v>4</v>
      </c>
      <c r="J45" s="16" t="s">
        <v>114</v>
      </c>
      <c r="K45" s="16" t="s">
        <v>116</v>
      </c>
      <c r="L45" s="16" t="s">
        <v>123</v>
      </c>
      <c r="M45" s="16" t="s">
        <v>113</v>
      </c>
      <c r="N45" s="16" t="s">
        <v>115</v>
      </c>
      <c r="O45" s="16" t="s">
        <v>118</v>
      </c>
      <c r="P45" s="16" t="s">
        <v>5</v>
      </c>
      <c r="Q45" s="16" t="s">
        <v>111</v>
      </c>
    </row>
    <row r="46" spans="3:21" ht="15" customHeight="1" thickTop="1">
      <c r="C46" s="17" t="s">
        <v>12</v>
      </c>
      <c r="D46" s="26">
        <v>3</v>
      </c>
      <c r="E46" s="27"/>
      <c r="F46" s="26">
        <v>3.75</v>
      </c>
      <c r="G46" s="26">
        <v>3.5</v>
      </c>
      <c r="H46" s="26">
        <v>3.5</v>
      </c>
      <c r="I46" s="26">
        <v>3.75</v>
      </c>
      <c r="J46" s="26">
        <v>3.75</v>
      </c>
      <c r="K46" s="26">
        <v>3.75</v>
      </c>
      <c r="L46" s="26">
        <v>3.75</v>
      </c>
      <c r="M46" s="26">
        <v>4</v>
      </c>
      <c r="N46" s="26">
        <v>4</v>
      </c>
      <c r="O46" s="26">
        <v>4</v>
      </c>
      <c r="P46" s="26">
        <v>4</v>
      </c>
      <c r="Q46" s="26">
        <v>4</v>
      </c>
    </row>
    <row r="47" spans="3:21" ht="15" customHeight="1">
      <c r="C47" s="17" t="s">
        <v>14</v>
      </c>
      <c r="D47" s="30"/>
      <c r="E47" s="29"/>
      <c r="F47" s="28">
        <f t="shared" ref="F47:Q47" ca="1" si="6">IF(F48=0,0,(-INDIRECT(ADDRESS(ROW()-9,COLUMN())))/120+F46)</f>
        <v>0.87401769610833346</v>
      </c>
      <c r="G47" s="28">
        <f t="shared" ca="1" si="6"/>
        <v>0.87606035645000002</v>
      </c>
      <c r="H47" s="28">
        <f t="shared" ca="1" si="6"/>
        <v>0.22466536241666635</v>
      </c>
      <c r="I47" s="28">
        <f t="shared" ca="1" si="6"/>
        <v>0.8601743914916673</v>
      </c>
      <c r="J47" s="28">
        <f t="shared" ca="1" si="6"/>
        <v>0.92662366435833299</v>
      </c>
      <c r="K47" s="28">
        <f t="shared" ca="1" si="6"/>
        <v>0.6356529503333328</v>
      </c>
      <c r="L47" s="28">
        <f t="shared" ca="1" si="6"/>
        <v>1.0540633881499999</v>
      </c>
      <c r="M47" s="28">
        <f t="shared" ca="1" si="6"/>
        <v>1.7436030382583336</v>
      </c>
      <c r="N47" s="28">
        <f t="shared" ca="1" si="6"/>
        <v>0.67647570834999948</v>
      </c>
      <c r="O47" s="28">
        <f t="shared" ca="1" si="6"/>
        <v>1.0031603403916671</v>
      </c>
      <c r="P47" s="28">
        <f t="shared" ca="1" si="6"/>
        <v>0.93100844996666687</v>
      </c>
      <c r="Q47" s="28">
        <f t="shared" ca="1" si="6"/>
        <v>0.34177685710000016</v>
      </c>
    </row>
    <row r="48" spans="3:21" ht="15" customHeight="1">
      <c r="C48" t="s">
        <v>112</v>
      </c>
      <c r="D48" s="31">
        <v>1</v>
      </c>
      <c r="E48" s="31">
        <v>1</v>
      </c>
      <c r="F48" s="31">
        <v>1</v>
      </c>
      <c r="G48" s="31">
        <v>1</v>
      </c>
      <c r="H48" s="31">
        <v>1</v>
      </c>
      <c r="I48" s="31">
        <v>1</v>
      </c>
      <c r="J48" s="31">
        <v>1</v>
      </c>
      <c r="K48" s="31">
        <v>1</v>
      </c>
      <c r="L48" s="31">
        <v>1</v>
      </c>
      <c r="M48" s="31">
        <v>1</v>
      </c>
      <c r="N48" s="32">
        <v>1</v>
      </c>
      <c r="O48" s="33">
        <v>1</v>
      </c>
      <c r="P48" s="34">
        <v>1</v>
      </c>
      <c r="Q48" s="35">
        <v>1</v>
      </c>
      <c r="R48" s="31"/>
      <c r="S48" s="31"/>
      <c r="T48" s="31"/>
      <c r="U48" s="31"/>
    </row>
    <row r="49" spans="3:18">
      <c r="N49" s="10"/>
      <c r="O49" s="12"/>
      <c r="P49" s="11"/>
      <c r="Q49" s="11"/>
    </row>
    <row r="51" spans="3:18"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3:18"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</row>
    <row r="53" spans="3:18">
      <c r="C53" s="20"/>
      <c r="D53" s="20"/>
    </row>
    <row r="54" spans="3:18">
      <c r="C54" s="20"/>
      <c r="D54" s="36"/>
    </row>
    <row r="55" spans="3:18">
      <c r="C55" s="20"/>
      <c r="D55" s="20"/>
    </row>
    <row r="56" spans="3:18">
      <c r="C56" s="20"/>
      <c r="D56" s="20"/>
    </row>
    <row r="57" spans="3:18">
      <c r="C57" s="20"/>
      <c r="D57" s="20"/>
    </row>
    <row r="58" spans="3:18">
      <c r="C58" s="20"/>
      <c r="D58" s="20"/>
    </row>
    <row r="59" spans="3:18">
      <c r="C59" s="20"/>
      <c r="D59" s="20"/>
    </row>
    <row r="60" spans="3:18">
      <c r="C60" s="20"/>
      <c r="D60" s="20"/>
    </row>
    <row r="61" spans="3:18">
      <c r="C61" s="20"/>
      <c r="D61" s="20"/>
    </row>
    <row r="62" spans="3:18">
      <c r="C62" s="20"/>
    </row>
  </sheetData>
  <sheetProtection sheet="1" objects="1" scenarios="1"/>
  <mergeCells count="8">
    <mergeCell ref="F28:R28"/>
    <mergeCell ref="F43:R43"/>
    <mergeCell ref="N10:P10"/>
    <mergeCell ref="N11:P11"/>
    <mergeCell ref="C9:E9"/>
    <mergeCell ref="C10:E10"/>
    <mergeCell ref="F15:R15"/>
    <mergeCell ref="N9:P9"/>
  </mergeCells>
  <phoneticPr fontId="9" type="noConversion"/>
  <conditionalFormatting sqref="J47:Q47">
    <cfRule type="cellIs" dxfId="2" priority="3" operator="lessThan">
      <formula>0</formula>
    </cfRule>
  </conditionalFormatting>
  <conditionalFormatting sqref="F47:I47">
    <cfRule type="cellIs" dxfId="1" priority="2" operator="lessThan">
      <formula>0</formula>
    </cfRule>
  </conditionalFormatting>
  <conditionalFormatting sqref="D47">
    <cfRule type="cellIs" dxfId="0" priority="1" operator="lessThan">
      <formula>0</formula>
    </cfRule>
  </conditionalFormatting>
  <hyperlinks>
    <hyperlink ref="C24" tooltip="Add (Function isn't yet supported in the Web client)" display="Add (Function isn't yet supported in the Web client)"/>
    <hyperlink ref="C37" tooltip="Add (Function isn't yet supported in the Web client)" display="Add (Function isn't yet supported in the Web client)"/>
    <hyperlink ref="N10" tooltip="Open Form (B110_101)" display="Open Form (B110_101)"/>
    <hyperlink ref="N11" tooltip="Open Form (B110_103)" display="Open Form (B110_103)"/>
    <hyperlink ref="N9" tooltip="Open Form (B122_102)" display="Open Form (B122_102)"/>
  </hyperlinks>
  <pageMargins left="0.7" right="0.7" top="0.75" bottom="0.75" header="0.3" footer="0.3"/>
  <pageSetup paperSize="9" orientation="portrait" verticalDpi="0" r:id="rId1"/>
  <customProperties>
    <customPr name="TGK_SHEET_ID" r:id="rId2"/>
  </customPropertie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0.0.0.dev.20140728130849-SNAPSHOT"/>
  <data>
    <be refId="0" clsId="Reporting.com.tagetik.report.ConvertedMultiTemplateReportVO,Reporting">
      <s key="vbaReportCode">GS</s>
      <be key="reportLogger" refId="1" clsId="ReportLogger">
        <be key="sheetLogger" refId="2" clsId="ReportingElementLogger">
          <set key="errors" refId="3" ln="0" eid="SYS_STR"/>
          <set key="warnings" refId="4" ln="0" eid="SYS_STR"/>
        </be>
        <be key="fgdLogger" refId="5" clsId="ReportingElementLogger">
          <set key="errors" refId="6" ln="0" eid="SYS_STR"/>
          <set key="warnings" refId="7" ln="0" eid="SYS_STR"/>
        </be>
        <m key="matrixLoggers" refId="8" keid="SYS_STR" veid="MatrixLogger">
          <key>
            <s>QUANTITY</s>
          </key>
          <val>
            <be refId="9" clsId="MatrixLogger">
              <s key="code">QUANTITY</s>
              <be key="rowsLogger" refId="10" clsId="ReportingElementLogger">
                <set key="errors" refId="11" ln="0" eid="SYS_STR"/>
                <set key="warnings" refId="12" ln="0" eid="SYS_STR"/>
              </be>
              <be key="colsLogger" refId="13" clsId="ReportingElementLogger">
                <set key="errors" refId="14" ln="0" eid="SYS_STR"/>
                <set key="warnings" refId="15" ln="0" eid="SYS_STR"/>
              </be>
              <set key="warnings" refId="16" ln="0" eid="SYS_STR"/>
            </be>
          </val>
          <key>
            <s>GROSS SALES</s>
          </key>
          <val>
            <be refId="17" clsId="MatrixLogger">
              <s key="code">GROSS SALES</s>
              <be key="rowsLogger" refId="18" clsId="ReportingElementLogger">
                <set key="errors" refId="19" ln="0" eid="SYS_STR"/>
                <set key="warnings" refId="20" ln="0" eid="SYS_STR"/>
              </be>
              <be key="colsLogger" refId="21" clsId="ReportingElementLogger">
                <set key="errors" refId="22" ln="0" eid="SYS_STR"/>
                <set key="warnings" refId="23" ln="0" eid="SYS_STR"/>
              </be>
              <set key="warnings" refId="24" ln="0" eid="SYS_STR"/>
            </be>
          </val>
        </m>
        <set key="errors" refId="25" ln="0" eid="SYS_STR"/>
        <set key="warnings" refId="26" ln="2" eid="SYS_STR">
          <s>Hyperlink in cell 'O6' is defined outside a matrix and will not work anymore.</s>
          <s>Hyperlink in cell 'O7' is defined outside a matrix and will not work anymore.</s>
        </set>
      </be>
      <s key="code">B110_102</s>
      <a key="desc" refId="27" ln="4" eid="SYS_STR">
        <s>Gross Sales</s>
        <s>Gross Sales</s>
        <s>Gross Sales</s>
        <nl/>
      </a>
      <d key="dateStyleApplied">1389188358588</d>
      <be key="options" refId="28" clsId="OpzioniProspetto">
        <b key="lockSheets">N</b>
        <s key="separator">,</s>
        <b key="dezerorcs">S</b>
        <i key="elabType">2</i>
        <i key="saveType">2</i>
        <i key="runElabType">2</i>
        <b key="refreshAfterSave">S</b>
        <b key="closeFormOnSave">N</b>
        <b key="drillOnlyOnUsedDims">N</b>
        <b key="forceExportReport">N</b>
        <i key="colorEditRGB">13434879</i>
        <i key="colorProtectedRGB">16777164</i>
        <i key="colorIRGB">13434879</i>
        <e key="parallelDegree" refId="29" id="ParallelDegreeEnum">D</e>
        <e key="parallelizeWhat" refId="30" id="ParallWhatEnum">MQ</e>
        <s key="styleSheetCode">TGK_01</s>
        <b key="sheetNamesWithCode">N</b>
        <b key="eventsWithUnlockedSheets">N</b>
        <e key="includeTemplateInSheetName" refId="31" id="IncludeTemplateInSheetNameEnum">0</e>
        <b key="enableDrillDown">S</b>
        <u key="expControlloThreshold">1E-09</u>
        <b key="disableTGKFunctions">N</b>
        <e key="validateTransactional" refId="32" id="ValidateTransactionalEnum">C</e>
      </be>
      <m key="templates" refId="33" keid="SYS_STR" veid="Reporting.com.tagetik.report.IReportTemplateVO,Reporting">
        <key>
          <s>template</s>
        </key>
        <val>
          <be refId="34" clsId="ReportTemplateVO">
            <s key="code">template</s>
            <s key="desc">Gross Sales</s>
            <m key="matrices" refId="35" keid="SYS_STR" veid="Reporting.com.tagetik.tables.IMatrixPositionBlockVO,Reporting">
              <key>
                <s>QUANTITY</s>
              </key>
              <val>
                <be refId="36" clsId="MatrixPositionBlockVO">
                  <s key="positionID">QUANTITY</s>
                  <be key="rows" refId="37" clsId="FilterNode">
                    <l key="dimensionOids" refId="38" ln="0" eid="DimensionOid"/>
                    <l key="AdHocParamDimensionOids" refId="39" ln="0" eid="DimensionOid"/>
                    <be key="data" refId="40" clsId="FilterNodeData">
                      <ref key="filterNode" refId="37"/>
                      <i key="segmentLevel">0</i>
                      <e key="segment" refId="41" id="SegmentEnum">CF</e>
                      <b key="placeHolder">N</b>
                      <e key="weight" refId="42" id="WeightEnum">S</e>
                      <e key="change" refId="43" id="ChangeEnum">CHG_CF</e>
                      <e key="dataType" refId="44" id="DataType">TYPE_U</e>
                      <b key="prevailingDataType">N</b>
                      <e key="editability" refId="45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46" ln="1" eid="Framework.com.tagetik.trees.INode,framework">
                      <be refId="47" clsId="FilterNode">
                        <l key="dimensionOids" refId="48" ln="1" eid="DimensionOid">
                          <cust clsId="DimensionOid">44455354325F3031-45-2444455354325F30315F50--50-</cust>
                        </l>
                        <l key="AdHocParamDimensionOids" refId="49" ln="0" eid="DimensionOid"/>
                        <be key="data" refId="50" clsId="FilterNodeData">
                          <ref key="filterNode" refId="47"/>
                          <s key="dim">DEST2_01</s>
                          <i key="segmentLevel">0</i>
                          <e key="segment" refId="51" id="SegmentEnum">N</e>
                          <b key="placeHolder">N</b>
                          <ref key="weight" refId="42"/>
                          <be key="dinamico" refId="52" clsId="ReportingDinamicita">
                            <e key="dynamicType" refId="53" id="DynamicEnum">LL</e>
                            <s key="advancedScript"/>
                            <b key="withSubtotal">S</b>
                            <b key="isPartecipatedCompany">N</b>
                            <b key="withSubtotalUntilStartingNode">N</b>
                            <b key="detailSubtotal">S</b>
                            <e key="pruning" refId="54" id="PruningEnum">S</e>
                            <i key="addictionalRowsToOpen">100</i>
                            <b key="allowOpenNewElements">N</b>
                          </be>
                          <e key="change" refId="55" id="ChangeEnum">CHG_N</e>
                          <ref key="dataType" refId="44"/>
                          <b key="prevailingDataType">N</b>
                          <e key="editability" refId="56" id="EditableEnum">N</e>
                          <b key="signChange">N</b>
                          <b key="nativeSignChange">N</b>
                          <l key="nav" refId="5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5</cust>
                        <s key="cod"/>
                        <s key="desc"/>
                        <i key="index">0</i>
                        <l key="children" refId="58" ln="0" eid="Framework.com.tagetik.trees.INode,framework"/>
                        <ref key="parent" refId="37"/>
                      </be>
                    </l>
                  </be>
                  <be key="columns" refId="59" clsId="FilterNode">
                    <l key="dimensionOids" refId="60" ln="0" eid="DimensionOid"/>
                    <l key="AdHocParamDimensionOids" refId="61" ln="0" eid="DimensionOid"/>
                    <be key="data" refId="62" clsId="FilterNodeData">
                      <ref key="filterNode" refId="59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63" ln="3" eid="Framework.com.tagetik.trees.INode,framework">
                      <be refId="64" clsId="FilterNode">
                        <l key="dimensionOids" refId="65" ln="1" eid="DimensionOid">
                          <cust clsId="DimensionOid">534345-45-5350424447--50-</cust>
                        </l>
                        <l key="AdHocParamDimensionOids" refId="66" ln="0" eid="DimensionOid"/>
                        <be key="data" refId="67" clsId="FilterNodeData">
                          <ref key="filterNode" refId="64"/>
                          <s key="dim">SCE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68" ln="1" eid="ScenarioModifierValue">
                            <e refId="69" id="ScenarioModifierValue">PREC</e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70" ln="2" eid="Framework.com.tagetik.trees.INode,framework">
                          <be refId="71" clsId="FilterNode">
                            <l key="dimensionOids" refId="72" ln="1" eid="DimensionOid">
                              <cust clsId="DimensionOid">4C554E504552-45-4C554E5F30---</cust>
                            </l>
                            <l key="AdHocParamDimensionOids" refId="73" ln="0" eid="DimensionOid"/>
                            <be key="data" refId="74" clsId="FilterNodeData">
                              <ref key="filterNode" refId="71"/>
                              <s key="dim">LUNPER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7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76" ln="1" eid="Framework.com.tagetik.trees.INode,framework">
                              <be refId="77" clsId="FilterNode">
                                <l key="dimensionOids" refId="78" ln="1" eid="DimensionOid">
                                  <cust clsId="DimensionOid">504552-45-3132---</cust>
                                </l>
                                <l key="AdHocParamDimensionOids" refId="79" ln="0" eid="DimensionOid"/>
                                <be key="data" refId="80" clsId="FilterNodeData">
                                  <ref key="filterNode" refId="77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81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82" ln="0" eid="Framework.com.tagetik.trees.INode,framework"/>
                                <ref key="parent" refId="71"/>
                              </be>
                            </l>
                            <ref key="parent" refId="64"/>
                          </be>
                          <be refId="83" clsId="FilterNode">
                            <l key="dimensionOids" refId="84" ln="0" eid="DimensionOid"/>
                            <l key="AdHocParamDimensionOids" refId="85" ln="0" eid="DimensionOid"/>
                            <be key="data" refId="86" clsId="FilterNodeData">
                              <ref key="filterNode" refId="83"/>
                              <s key="dim">LUNPER</s>
                              <i key="segmentLevel">0</i>
                              <ref key="segment" refId="41"/>
                              <b key="placeHolder">S</b>
                              <ref key="weight" refId="42"/>
                              <ref key="change" refId="43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8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5</cust>
                            <s key="cod"/>
                            <s key="desc"/>
                            <i key="index">1</i>
                            <l key="children" refId="88" ln="1" eid="Framework.com.tagetik.trees.INode,framework">
                              <be refId="89" clsId="FilterNode">
                                <l key="dimensionOids" refId="90" ln="0" eid="DimensionOid"/>
                                <l key="AdHocParamDimensionOids" refId="91" ln="0" eid="DimensionOid"/>
                                <be key="data" refId="92" clsId="FilterNodeData">
                                  <ref key="filterNode" refId="89"/>
                                  <s key="dim">PER</s>
                                  <i key="segmentLevel">0</i>
                                  <ref key="segment" refId="41"/>
                                  <b key="placeHolder">S</b>
                                  <ref key="weight" refId="42"/>
                                  <ref key="change" refId="43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93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6</cust>
                                <s key="cod"/>
                                <s key="desc"/>
                                <i key="index">0</i>
                                <l key="children" refId="94" ln="0" eid="Framework.com.tagetik.trees.INode,framework"/>
                                <ref key="parent" refId="83"/>
                              </be>
                            </l>
                            <ref key="parent" refId="64"/>
                          </be>
                        </l>
                        <ref key="parent" refId="59"/>
                      </be>
                      <be refId="95" clsId="FilterNode">
                        <l key="dimensionOids" refId="96" ln="1" eid="DimensionOid">
                          <cust clsId="DimensionOid">534345-45-5350424447--50-</cust>
                        </l>
                        <l key="AdHocParamDimensionOids" refId="97" ln="0" eid="DimensionOid"/>
                        <be key="data" refId="98" clsId="FilterNodeData">
                          <ref key="filterNode" refId="95"/>
                          <s key="dim">SCE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e key="editability" refId="99" id="EditableEnum">S</e>
                          <b key="signChange">N</b>
                          <b key="nativeSignChange">N</b>
                          <l key="nav" refId="10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7</cust>
                        <s key="cod"/>
                        <s key="desc"/>
                        <i key="index">1</i>
                        <l key="children" refId="101" ln="1" eid="Framework.com.tagetik.trees.INode,framework">
                          <be refId="102" clsId="FilterNode">
                            <l key="dimensionOids" refId="103" ln="1" eid="DimensionOid">
                              <cust clsId="DimensionOid">4C554E504552-45-4C554E5F31---</cust>
                            </l>
                            <l key="AdHocParamDimensionOids" refId="104" ln="0" eid="DimensionOid"/>
                            <be key="data" refId="105" clsId="FilterNodeData">
                              <ref key="filterNode" refId="102"/>
                              <s key="dim">LUNPER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99"/>
                              <b key="signChange">N</b>
                              <b key="nativeSignChange">N</b>
                              <l key="nav" refId="10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8</cust>
                            <s key="cod"/>
                            <s key="desc"/>
                            <i key="index">0</i>
                            <l key="children" refId="107" ln="12" eid="Framework.com.tagetik.trees.INode,framework">
                              <be refId="108" clsId="FilterNode">
                                <l key="dimensionOids" refId="109" ln="1" eid="DimensionOid">
                                  <cust clsId="DimensionOid">504552-45-3031---</cust>
                                </l>
                                <l key="AdHocParamDimensionOids" refId="110" ln="0" eid="DimensionOid"/>
                                <be key="data" refId="111" clsId="FilterNodeData">
                                  <ref key="filterNode" refId="108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1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9</cust>
                                <s key="cod"/>
                                <s key="desc"/>
                                <i key="index">0</i>
                                <l key="children" refId="113" ln="0" eid="Framework.com.tagetik.trees.INode,framework"/>
                                <ref key="parent" refId="102"/>
                              </be>
                              <be refId="114" clsId="FilterNode">
                                <l key="dimensionOids" refId="115" ln="1" eid="DimensionOid">
                                  <cust clsId="DimensionOid">504552-45-3032---</cust>
                                </l>
                                <l key="AdHocParamDimensionOids" refId="116" ln="0" eid="DimensionOid"/>
                                <be key="data" refId="117" clsId="FilterNodeData">
                                  <ref key="filterNode" refId="114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1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10</cust>
                                <s key="cod"/>
                                <s key="desc"/>
                                <i key="index">1</i>
                                <l key="children" refId="119" ln="0" eid="Framework.com.tagetik.trees.INode,framework"/>
                                <ref key="parent" refId="102"/>
                              </be>
                              <be refId="120" clsId="FilterNode">
                                <l key="dimensionOids" refId="121" ln="1" eid="DimensionOid">
                                  <cust clsId="DimensionOid">504552-45-3033---</cust>
                                </l>
                                <l key="AdHocParamDimensionOids" refId="122" ln="0" eid="DimensionOid"/>
                                <be key="data" refId="123" clsId="FilterNodeData">
                                  <ref key="filterNode" refId="120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2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11</cust>
                                <s key="cod"/>
                                <s key="desc"/>
                                <i key="index">2</i>
                                <l key="children" refId="125" ln="0" eid="Framework.com.tagetik.trees.INode,framework"/>
                                <ref key="parent" refId="102"/>
                              </be>
                              <be refId="126" clsId="FilterNode">
                                <l key="dimensionOids" refId="127" ln="1" eid="DimensionOid">
                                  <cust clsId="DimensionOid">504552-45-3034---</cust>
                                </l>
                                <l key="AdHocParamDimensionOids" refId="128" ln="0" eid="DimensionOid"/>
                                <be key="data" refId="129" clsId="FilterNodeData">
                                  <ref key="filterNode" refId="126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30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12</cust>
                                <s key="cod"/>
                                <s key="desc"/>
                                <i key="index">3</i>
                                <l key="children" refId="131" ln="0" eid="Framework.com.tagetik.trees.INode,framework"/>
                                <ref key="parent" refId="102"/>
                              </be>
                              <be refId="132" clsId="FilterNode">
                                <l key="dimensionOids" refId="133" ln="1" eid="DimensionOid">
                                  <cust clsId="DimensionOid">504552-45-3035---</cust>
                                </l>
                                <l key="AdHocParamDimensionOids" refId="134" ln="0" eid="DimensionOid"/>
                                <be key="data" refId="135" clsId="FilterNodeData">
                                  <ref key="filterNode" refId="132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36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13</cust>
                                <s key="cod"/>
                                <s key="desc"/>
                                <i key="index">4</i>
                                <l key="children" refId="137" ln="0" eid="Framework.com.tagetik.trees.INode,framework"/>
                                <ref key="parent" refId="102"/>
                              </be>
                              <be refId="138" clsId="FilterNode">
                                <l key="dimensionOids" refId="139" ln="1" eid="DimensionOid">
                                  <cust clsId="DimensionOid">504552-45-3036---</cust>
                                </l>
                                <l key="AdHocParamDimensionOids" refId="140" ln="0" eid="DimensionOid"/>
                                <be key="data" refId="141" clsId="FilterNodeData">
                                  <ref key="filterNode" refId="138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4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14</cust>
                                <s key="cod"/>
                                <s key="desc"/>
                                <i key="index">5</i>
                                <l key="children" refId="143" ln="0" eid="Framework.com.tagetik.trees.INode,framework"/>
                                <ref key="parent" refId="102"/>
                              </be>
                              <be refId="144" clsId="FilterNode">
                                <l key="dimensionOids" refId="145" ln="1" eid="DimensionOid">
                                  <cust clsId="DimensionOid">504552-45-3037---</cust>
                                </l>
                                <l key="AdHocParamDimensionOids" refId="146" ln="0" eid="DimensionOid"/>
                                <be key="data" refId="147" clsId="FilterNodeData">
                                  <ref key="filterNode" refId="144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4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15</cust>
                                <s key="cod"/>
                                <s key="desc"/>
                                <i key="index">6</i>
                                <l key="children" refId="149" ln="0" eid="Framework.com.tagetik.trees.INode,framework"/>
                                <ref key="parent" refId="102"/>
                              </be>
                              <be refId="150" clsId="FilterNode">
                                <l key="dimensionOids" refId="151" ln="1" eid="DimensionOid">
                                  <cust clsId="DimensionOid">504552-45-3038---</cust>
                                </l>
                                <l key="AdHocParamDimensionOids" refId="152" ln="0" eid="DimensionOid"/>
                                <be key="data" refId="153" clsId="FilterNodeData">
                                  <ref key="filterNode" refId="150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5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16</cust>
                                <s key="cod"/>
                                <s key="desc"/>
                                <i key="index">7</i>
                                <l key="children" refId="155" ln="0" eid="Framework.com.tagetik.trees.INode,framework"/>
                                <ref key="parent" refId="102"/>
                              </be>
                              <be refId="156" clsId="FilterNode">
                                <l key="dimensionOids" refId="157" ln="1" eid="DimensionOid">
                                  <cust clsId="DimensionOid">504552-45-3039---</cust>
                                </l>
                                <l key="AdHocParamDimensionOids" refId="158" ln="0" eid="DimensionOid"/>
                                <be key="data" refId="159" clsId="FilterNodeData">
                                  <ref key="filterNode" refId="156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60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17</cust>
                                <s key="cod"/>
                                <s key="desc"/>
                                <i key="index">8</i>
                                <l key="children" refId="161" ln="0" eid="Framework.com.tagetik.trees.INode,framework"/>
                                <ref key="parent" refId="102"/>
                              </be>
                              <be refId="162" clsId="FilterNode">
                                <l key="dimensionOids" refId="163" ln="1" eid="DimensionOid">
                                  <cust clsId="DimensionOid">504552-45-3130---</cust>
                                </l>
                                <l key="AdHocParamDimensionOids" refId="164" ln="0" eid="DimensionOid"/>
                                <be key="data" refId="165" clsId="FilterNodeData">
                                  <ref key="filterNode" refId="162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66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18</cust>
                                <s key="cod"/>
                                <s key="desc"/>
                                <i key="index">9</i>
                                <l key="children" refId="167" ln="0" eid="Framework.com.tagetik.trees.INode,framework"/>
                                <ref key="parent" refId="102"/>
                              </be>
                              <be refId="168" clsId="FilterNode">
                                <l key="dimensionOids" refId="169" ln="1" eid="DimensionOid">
                                  <cust clsId="DimensionOid">504552-45-3131---</cust>
                                </l>
                                <l key="AdHocParamDimensionOids" refId="170" ln="0" eid="DimensionOid"/>
                                <be key="data" refId="171" clsId="FilterNodeData">
                                  <ref key="filterNode" refId="168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7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19</cust>
                                <s key="cod"/>
                                <s key="desc"/>
                                <i key="index">10</i>
                                <l key="children" refId="173" ln="0" eid="Framework.com.tagetik.trees.INode,framework"/>
                                <ref key="parent" refId="102"/>
                              </be>
                              <be refId="174" clsId="FilterNode">
                                <l key="dimensionOids" refId="175" ln="1" eid="DimensionOid">
                                  <cust clsId="DimensionOid">504552-45-3132---</cust>
                                </l>
                                <l key="AdHocParamDimensionOids" refId="176" ln="0" eid="DimensionOid"/>
                                <be key="data" refId="177" clsId="FilterNodeData">
                                  <ref key="filterNode" refId="174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N</b>
                                  <b key="nativeSignChange">N</b>
                                  <l key="nav" refId="17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20</cust>
                                <s key="cod"/>
                                <s key="desc"/>
                                <i key="index">11</i>
                                <l key="children" refId="179" ln="0" eid="Framework.com.tagetik.trees.INode,framework"/>
                                <ref key="parent" refId="102"/>
                              </be>
                            </l>
                            <ref key="parent" refId="95"/>
                          </be>
                        </l>
                        <ref key="parent" refId="59"/>
                      </be>
                      <be refId="180" clsId="FilterNode">
                        <l key="dimensionOids" refId="181" ln="0" eid="DimensionOid"/>
                        <l key="AdHocParamDimensionOids" refId="182" ln="0" eid="DimensionOid"/>
                        <be key="data" refId="183" clsId="FilterNodeData">
                          <ref key="filterNode" refId="180"/>
                          <s key="dim">SCE</s>
                          <i key="segmentLevel">0</i>
                          <ref key="segment" refId="41"/>
                          <b key="placeHolder">S</b>
                          <ref key="weight" refId="42"/>
                          <ref key="change" refId="43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18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21</cust>
                        <s key="cod"/>
                        <s key="desc"/>
                        <i key="index">2</i>
                        <l key="children" refId="185" ln="1" eid="Framework.com.tagetik.trees.INode,framework">
                          <be refId="186" clsId="FilterNode">
                            <l key="dimensionOids" refId="187" ln="0" eid="DimensionOid"/>
                            <l key="AdHocParamDimensionOids" refId="188" ln="0" eid="DimensionOid"/>
                            <be key="data" refId="189" clsId="FilterNodeData">
                              <ref key="filterNode" refId="186"/>
                              <s key="dim">LUNPER</s>
                              <i key="segmentLevel">0</i>
                              <ref key="segment" refId="41"/>
                              <b key="placeHolder">S</b>
                              <ref key="weight" refId="42"/>
                              <ref key="change" refId="43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19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22</cust>
                            <s key="cod"/>
                            <s key="desc"/>
                            <i key="index">0</i>
                            <l key="children" refId="191" ln="1" eid="Framework.com.tagetik.trees.INode,framework">
                              <be refId="192" clsId="FilterNode">
                                <l key="dimensionOids" refId="193" ln="0" eid="DimensionOid"/>
                                <l key="AdHocParamDimensionOids" refId="194" ln="0" eid="DimensionOid"/>
                                <be key="data" refId="195" clsId="FilterNodeData">
                                  <ref key="filterNode" refId="192"/>
                                  <s key="dim">PER</s>
                                  <i key="segmentLevel">0</i>
                                  <ref key="segment" refId="41"/>
                                  <be key="reportingFormula" refId="196" clsId="ReportingFormula">
                                    <b key="serverFormula">N</b>
                                    <b key="formulaRule">N</b>
                                    <s key="formula">SUBTOTAL(9, {9}:{20})</s>
                                  </be>
                                  <be key="dictionaryHeader" refId="197" clsId="MultiDesc">
                                    <a key="desc" refId="198" ln="4" eid="SYS_STR">
                                      <s>Total</s>
                                      <s>Total</s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42"/>
                                  <ref key="change" refId="43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199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23</cust>
                                <s key="cod"/>
                                <s key="desc"/>
                                <i key="index">0</i>
                                <l key="children" refId="200" ln="0" eid="Framework.com.tagetik.trees.INode,framework"/>
                                <ref key="parent" refId="186"/>
                              </be>
                            </l>
                            <ref key="parent" refId="180"/>
                          </be>
                        </l>
                        <ref key="parent" refId="59"/>
                      </be>
                    </l>
                  </be>
                  <be key="matrixFilters" refId="201" clsId="FilterNode">
                    <l key="dimensionOids" refId="202" ln="0" eid="DimensionOid"/>
                    <l key="AdHocParamDimensionOids" refId="203" ln="0" eid="DimensionOid"/>
                    <be key="data" refId="204" clsId="FilterNodeData">
                      <ref key="filterNode" refId="201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205" ln="1" eid="Framework.com.tagetik.trees.INode,framework">
                      <be refId="206" clsId="FilterNode">
                        <l key="dimensionOids" refId="207" ln="1" eid="DimensionOid">
                          <cust clsId="DimensionOid">434154-45-24414D4F554E54---</cust>
                        </l>
                        <l key="AdHocParamDimensionOids" refId="208" ln="0" eid="DimensionOid"/>
                        <be key="data" refId="209" clsId="FilterNodeData">
                          <ref key="filterNode" refId="206"/>
                          <s key="dim">CAT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21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6</cust>
                        <s key="cod"/>
                        <s key="desc"/>
                        <i key="index">0</i>
                        <l key="children" refId="211" ln="1" eid="Framework.com.tagetik.trees.INode,framework">
                          <be refId="212" clsId="FilterNode">
                            <l key="dimensionOids" refId="213" ln="1" eid="DimensionOid">
                              <cust clsId="DimensionOid">4445535431-45-473031---</cust>
                            </l>
                            <l key="AdHocParamDimensionOids" refId="214" ln="0" eid="DimensionOid"/>
                            <be key="data" refId="215" clsId="FilterNodeData">
                              <ref key="filterNode" refId="212"/>
                              <s key="dim">DEST1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216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8</cust>
                            <s key="cod"/>
                            <s key="desc"/>
                            <i key="index">0</i>
                            <l key="children" refId="217" ln="1" eid="Framework.com.tagetik.trees.INode,framework">
                              <be refId="218" clsId="FilterNode">
                                <l key="dimensionOids" refId="219" ln="1" eid="DimensionOid">
                                  <cust clsId="DimensionOid">4445535433-45-473031---</cust>
                                </l>
                                <l key="AdHocParamDimensionOids" refId="220" ln="0" eid="DimensionOid"/>
                                <be key="data" refId="221" clsId="FilterNodeData">
                                  <ref key="filterNode" refId="218"/>
                                  <s key="dim">DEST3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22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10</cust>
                                <s key="cod"/>
                                <s key="desc"/>
                                <i key="index">0</i>
                                <l key="children" refId="223" ln="1" eid="Framework.com.tagetik.trees.INode,framework">
                                  <be refId="224" clsId="FilterNode">
                                    <l key="dimensionOids" refId="225" ln="1" eid="DimensionOid">
                                      <cust clsId="DimensionOid">564F435F24-45-3930303130---</cust>
                                    </l>
                                    <l key="AdHocParamDimensionOids" refId="226" ln="0" eid="DimensionOid"/>
                                    <be key="data" refId="227" clsId="FilterNodeData">
                                      <ref key="filterNode" refId="224"/>
                                      <s key="dim">VOC_$</s>
                                      <i key="segmentLevel">0</i>
                                      <ref key="segment" refId="51"/>
                                      <b key="placeHolder">N</b>
                                      <ref key="weight" refId="42"/>
                                      <ref key="change" refId="55"/>
                                      <ref key="dataType" refId="44"/>
                                      <b key="prevailingDataType">N</b>
                                      <ref key="editability" refId="45"/>
                                      <b key="signChange">N</b>
                                      <b key="nativeSignChange">N</b>
                                      <l key="nav" refId="228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20</cust>
                                    <s key="cod"/>
                                    <s key="desc"/>
                                    <i key="index">0</i>
                                    <l key="children" refId="229" ln="1" eid="Framework.com.tagetik.trees.INode,framework">
                                      <be refId="230" clsId="FilterNode">
                                        <l key="dimensionOids" refId="231" ln="1" eid="DimensionOid">
                                          <cust clsId="DimensionOid">544950-45-5449505F4F---</cust>
                                        </l>
                                        <l key="AdHocParamDimensionOids" refId="232" ln="0" eid="DimensionOid"/>
                                        <be key="data" refId="233" clsId="FilterNodeData">
                                          <ref key="filterNode" refId="230"/>
                                          <s key="dim">TIP</s>
                                          <i key="segmentLevel">0</i>
                                          <ref key="segment" refId="51"/>
                                          <b key="placeHolder">N</b>
                                          <ref key="weight" refId="42"/>
                                          <ref key="change" refId="55"/>
                                          <ref key="dataType" refId="44"/>
                                          <b key="prevailingDataType">N</b>
                                          <ref key="editability" refId="45"/>
                                          <b key="signChange">N</b>
                                          <b key="nativeSignChange">N</b>
                                          <l key="nav" refId="234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</be>
                                        <cust key="id" clsId="FilterOid">21</cust>
                                        <s key="cod"/>
                                        <s key="desc"/>
                                        <i key="index">0</i>
                                        <l key="children" refId="235" ln="0" eid="Framework.com.tagetik.trees.INode,framework"/>
                                        <ref key="parent" refId="224"/>
                                      </be>
                                    </l>
                                    <ref key="parent" refId="218"/>
                                  </be>
                                </l>
                                <ref key="parent" refId="212"/>
                              </be>
                            </l>
                            <ref key="parent" refId="206"/>
                          </be>
                        </l>
                        <ref key="parent" refId="201"/>
                      </be>
                    </l>
                  </be>
                  <be key="rowHeaders" refId="236" clsId="ReportingHeaders">
                    <m key="headers" refId="237" keid="SYS_PR_I" veid="System.Collections.IList">
                      <key>
                        <i>-1</i>
                      </key>
                      <val>
                        <l refId="238" ln="1">
                          <s>$Cust_Dim2(HIERARCHY("01")).desc</s>
                        </l>
                      </val>
                    </m>
                    <m key="headersDims" refId="239" keid="SYS_PR_I" veid="SYS_STR">
                      <key>
                        <i>-1</i>
                      </key>
                      <val>
                        <s>DEST2_01</s>
                      </val>
                    </m>
                  </be>
                  <be key="columnHeaders" refId="240" clsId="ReportingHeaders">
                    <m key="headers" refId="241" keid="SYS_PR_I" veid="System.Collections.IList">
                      <key>
                        <i>-2</i>
                      </key>
                      <val>
                        <l refId="242" ln="1">
                          <s>$Scenario.desc</s>
                        </l>
                      </val>
                      <key>
                        <i>-1</i>
                      </key>
                      <val>
                        <l refId="243" ln="1">
                          <s>$Period.desc</s>
                        </l>
                      </val>
                    </m>
                    <m key="headersDims" refId="244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PER</s>
                      </val>
                    </m>
                  </be>
                  <e key="styleType" refId="245" id="MatrixStyleType">2</e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e key="rowsExpansionMode" refId="246" id="RowColExpansionMode">2</e>
                  <i key="maxCols">0</i>
                  <e key="colsExpansionMode" refId="247" id="RowColExpansionMode">1</e>
                  <e key="columnsAutofitMode" refId="248" id="ColumnsAutofitMode">0</e>
                  <b key="useForcedBoundDims">N</b>
                  <e key="disableHints" refId="249" id="MatrixHintsPolicy">N</e>
                  <e key="tipoAllineamentoLordiIC" refId="250" id="TipoAllineamentoLordiIC">X</e>
                  <set key="forcedDimensions" refId="251" ln="1" eid="SYS_STR">
                    <s>SCE</s>
                  </set>
                  <b key="bindOriginalAmountOnSave">N</b>
                  <b key="showLink">N</b>
                  <i key="index">0</i>
                  <b key="excludeValuatingSheetsWithZeroValues">N</b>
                  <m key="addictionalStyleSheets" refId="25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3" ln="0" eid="MatrixCellLeafOids"/>
                  <m key="forcedEditModes" refId="254" keid="MatrixCellLeafOids" veid="SYS_STR"/>
                  <b key="UseTxlDeFormEditor">N</b>
                </be>
              </val>
              <key>
                <s>GROSS SALES</s>
              </key>
              <val>
                <be refId="255" clsId="MatrixPositionBlockVO">
                  <s key="positionID">GROSS SALES</s>
                  <be key="rows" refId="256" clsId="FilterNode">
                    <l key="dimensionOids" refId="257" ln="0" eid="DimensionOid"/>
                    <l key="AdHocParamDimensionOids" refId="258" ln="0" eid="DimensionOid"/>
                    <be key="data" refId="259" clsId="FilterNodeData">
                      <ref key="filterNode" refId="256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260" ln="1" eid="Framework.com.tagetik.trees.INode,framework">
                      <be refId="261" clsId="FilterNode">
                        <l key="dimensionOids" refId="262" ln="1" eid="DimensionOid">
                          <cust clsId="DimensionOid">44455354325F3031-45-2444455354325F30315F50--50-</cust>
                        </l>
                        <l key="AdHocParamDimensionOids" refId="263" ln="0" eid="DimensionOid"/>
                        <be key="data" refId="264" clsId="FilterNodeData">
                          <ref key="filterNode" refId="261"/>
                          <s key="dim">DEST2_01</s>
                          <i key="segmentLevel">0</i>
                          <ref key="segment" refId="51"/>
                          <b key="placeHolder">N</b>
                          <ref key="weight" refId="42"/>
                          <be key="dinamico" refId="265" clsId="ReportingDinamicita">
                            <ref key="dynamicType" refId="53"/>
                            <s key="advancedScript"/>
                            <b key="withSubtotal">S</b>
                            <b key="isPartecipatedCompany">N</b>
                            <b key="withSubtotalUntilStartingNode">N</b>
                            <b key="detailSubtotal">S</b>
                            <ref key="pruning" refId="54"/>
                            <i key="addictionalRowsToOpen">100</i>
                            <b key="allowOpenNewElements">N</b>
                          </be>
                          <ref key="change" refId="55"/>
                          <ref key="dataType" refId="44"/>
                          <b key="prevailingDataType">N</b>
                          <ref key="editability" refId="99"/>
                          <b key="signChange">N</b>
                          <b key="nativeSignChange">N</b>
                          <l key="nav" refId="266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5</cust>
                        <s key="cod"/>
                        <s key="desc"/>
                        <i key="index">0</i>
                        <l key="children" refId="267" ln="0" eid="Framework.com.tagetik.trees.INode,framework"/>
                        <ref key="parent" refId="256"/>
                      </be>
                    </l>
                  </be>
                  <be key="columns" refId="268" clsId="FilterNode">
                    <l key="dimensionOids" refId="269" ln="0" eid="DimensionOid"/>
                    <l key="AdHocParamDimensionOids" refId="270" ln="0" eid="DimensionOid"/>
                    <be key="data" refId="271" clsId="FilterNodeData">
                      <be key="filterNode" refId="272" clsId="FilterNode">
                        <l key="dimensionOids" refId="273" ln="0" eid="DimensionOid"/>
                        <l key="AdHocParamDimensionOids" refId="274" ln="0" eid="DimensionOid"/>
                        <be key="data" refId="275" clsId="FilterNodeData">
                          <ref key="filterNode" refId="272"/>
                          <i key="segmentLevel">0</i>
                          <ref key="segment" refId="41"/>
                          <b key="placeHolder">N</b>
                          <ref key="weight" refId="42"/>
                          <ref key="change" refId="43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1</cust>
                        <i key="index">0</i>
                        <l key="children" refId="276" ln="0" eid="Framework.com.tagetik.trees.INode,framework"/>
                      </be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277" ln="3" eid="Framework.com.tagetik.trees.INode,framework">
                      <be refId="278" clsId="FilterNode">
                        <l key="dimensionOids" refId="279" ln="1" eid="DimensionOid">
                          <cust clsId="DimensionOid">534345-45-5350424447--50-</cust>
                        </l>
                        <l key="AdHocParamDimensionOids" refId="280" ln="0" eid="DimensionOid"/>
                        <be key="data" refId="281" clsId="FilterNodeData">
                          <ref key="filterNode" refId="278"/>
                          <s key="dim">SCE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282" ln="1" eid="ScenarioModifierValue">
                            <ref refId="69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283" ln="2" eid="Framework.com.tagetik.trees.INode,framework">
                          <be refId="284" clsId="FilterNode">
                            <l key="dimensionOids" refId="285" ln="1" eid="DimensionOid">
                              <cust clsId="DimensionOid">4C554E504552-45-4C554E5F30---</cust>
                            </l>
                            <l key="AdHocParamDimensionOids" refId="286" ln="0" eid="DimensionOid"/>
                            <be key="data" refId="287" clsId="FilterNodeData">
                              <ref key="filterNode" refId="284"/>
                              <s key="dim">LUNPER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28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289" ln="1" eid="Framework.com.tagetik.trees.INode,framework">
                              <be refId="290" clsId="FilterNode">
                                <l key="dimensionOids" refId="291" ln="1" eid="DimensionOid">
                                  <cust clsId="DimensionOid">504552-45-3132---</cust>
                                </l>
                                <l key="AdHocParamDimensionOids" refId="292" ln="0" eid="DimensionOid"/>
                                <be key="data" refId="293" clsId="FilterNodeData">
                                  <ref key="filterNode" refId="290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56"/>
                                  <b key="signChange">S</b>
                                  <b key="nativeSignChange">N</b>
                                  <l key="nav" refId="29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295" ln="0" eid="Framework.com.tagetik.trees.INode,framework"/>
                                <ref key="parent" refId="284"/>
                              </be>
                            </l>
                            <ref key="parent" refId="278"/>
                          </be>
                          <be refId="296" clsId="FilterNode">
                            <l key="dimensionOids" refId="297" ln="0" eid="DimensionOid"/>
                            <l key="AdHocParamDimensionOids" refId="298" ln="0" eid="DimensionOid"/>
                            <be key="data" refId="299" clsId="FilterNodeData">
                              <ref key="filterNode" refId="296"/>
                              <s key="dim">LUNPER</s>
                              <i key="segmentLevel">0</i>
                              <ref key="segment" refId="41"/>
                              <b key="placeHolder">S</b>
                              <ref key="weight" refId="42"/>
                              <ref key="change" refId="43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30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5</cust>
                            <s key="cod"/>
                            <s key="desc"/>
                            <i key="index">1</i>
                            <l key="children" refId="301" ln="1" eid="Framework.com.tagetik.trees.INode,framework">
                              <be refId="302" clsId="FilterNode">
                                <l key="dimensionOids" refId="303" ln="0" eid="DimensionOid"/>
                                <l key="AdHocParamDimensionOids" refId="304" ln="0" eid="DimensionOid"/>
                                <be key="data" refId="305" clsId="FilterNodeData">
                                  <ref key="filterNode" refId="302"/>
                                  <s key="dim">PER</s>
                                  <i key="segmentLevel">0</i>
                                  <ref key="segment" refId="41"/>
                                  <b key="placeHolder">S</b>
                                  <ref key="weight" refId="42"/>
                                  <ref key="change" refId="43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306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6</cust>
                                <s key="cod"/>
                                <s key="desc"/>
                                <i key="index">0</i>
                                <l key="children" refId="307" ln="0" eid="Framework.com.tagetik.trees.INode,framework"/>
                                <ref key="parent" refId="296"/>
                              </be>
                            </l>
                            <ref key="parent" refId="278"/>
                          </be>
                        </l>
                        <ref key="parent" refId="268"/>
                      </be>
                      <be refId="308" clsId="FilterNode">
                        <l key="dimensionOids" refId="309" ln="1" eid="DimensionOid">
                          <cust clsId="DimensionOid">534345-45-5350424447--50-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SCE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99"/>
                          <b key="signChange">N</b>
                          <b key="nativeSignChange">N</b>
                          <l key="nav" refId="31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7</cust>
                        <s key="cod"/>
                        <s key="desc"/>
                        <i key="index">1</i>
                        <l key="children" refId="313" ln="1" eid="Framework.com.tagetik.trees.INode,framework">
                          <be refId="314" clsId="FilterNode">
                            <l key="dimensionOids" refId="315" ln="1" eid="DimensionOid">
                              <cust clsId="DimensionOid">4C554E504552-45-4C554E5F31---</cust>
                            </l>
                            <l key="AdHocParamDimensionOids" refId="316" ln="0" eid="DimensionOid"/>
                            <be key="data" refId="317" clsId="FilterNodeData">
                              <ref key="filterNode" refId="314"/>
                              <s key="dim">LUNPER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99"/>
                              <b key="signChange">N</b>
                              <b key="nativeSignChange">N</b>
                              <l key="nav" refId="31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8</cust>
                            <s key="cod"/>
                            <s key="desc"/>
                            <i key="index">0</i>
                            <l key="children" refId="319" ln="12" eid="Framework.com.tagetik.trees.INode,framework">
                              <be refId="320" clsId="FilterNode">
                                <l key="dimensionOids" refId="321" ln="1" eid="DimensionOid">
                                  <cust clsId="DimensionOid">504552-45-3031---</cust>
                                </l>
                                <l key="AdHocParamDimensionOids" refId="322" ln="0" eid="DimensionOid"/>
                                <be key="data" refId="323" clsId="FilterNodeData">
                                  <ref key="filterNode" refId="320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2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9</cust>
                                <s key="cod"/>
                                <s key="desc"/>
                                <i key="index">0</i>
                                <l key="children" refId="325" ln="0" eid="Framework.com.tagetik.trees.INode,framework"/>
                                <ref key="parent" refId="314"/>
                              </be>
                              <be refId="326" clsId="FilterNode">
                                <l key="dimensionOids" refId="327" ln="1" eid="DimensionOid">
                                  <cust clsId="DimensionOid">504552-45-3032---</cust>
                                </l>
                                <l key="AdHocParamDimensionOids" refId="328" ln="0" eid="DimensionOid"/>
                                <be key="data" refId="329" clsId="FilterNodeData">
                                  <ref key="filterNode" refId="326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30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10</cust>
                                <s key="cod"/>
                                <s key="desc"/>
                                <i key="index">1</i>
                                <l key="children" refId="331" ln="0" eid="Framework.com.tagetik.trees.INode,framework"/>
                                <ref key="parent" refId="314"/>
                              </be>
                              <be refId="332" clsId="FilterNode">
                                <l key="dimensionOids" refId="333" ln="1" eid="DimensionOid">
                                  <cust clsId="DimensionOid">504552-45-3033---</cust>
                                </l>
                                <l key="AdHocParamDimensionOids" refId="334" ln="0" eid="DimensionOid"/>
                                <be key="data" refId="335" clsId="FilterNodeData">
                                  <ref key="filterNode" refId="332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36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11</cust>
                                <s key="cod"/>
                                <s key="desc"/>
                                <i key="index">2</i>
                                <l key="children" refId="337" ln="0" eid="Framework.com.tagetik.trees.INode,framework"/>
                                <ref key="parent" refId="314"/>
                              </be>
                              <be refId="338" clsId="FilterNode">
                                <l key="dimensionOids" refId="339" ln="1" eid="DimensionOid">
                                  <cust clsId="DimensionOid">504552-45-3034---</cust>
                                </l>
                                <l key="AdHocParamDimensionOids" refId="340" ln="0" eid="DimensionOid"/>
                                <be key="data" refId="341" clsId="FilterNodeData">
                                  <ref key="filterNode" refId="338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4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12</cust>
                                <s key="cod"/>
                                <s key="desc"/>
                                <i key="index">3</i>
                                <l key="children" refId="343" ln="0" eid="Framework.com.tagetik.trees.INode,framework"/>
                                <ref key="parent" refId="314"/>
                              </be>
                              <be refId="344" clsId="FilterNode">
                                <l key="dimensionOids" refId="345" ln="1" eid="DimensionOid">
                                  <cust clsId="DimensionOid">504552-45-3035---</cust>
                                </l>
                                <l key="AdHocParamDimensionOids" refId="346" ln="0" eid="DimensionOid"/>
                                <be key="data" refId="347" clsId="FilterNodeData">
                                  <ref key="filterNode" refId="344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4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13</cust>
                                <s key="cod"/>
                                <s key="desc"/>
                                <i key="index">4</i>
                                <l key="children" refId="349" ln="0" eid="Framework.com.tagetik.trees.INode,framework"/>
                                <ref key="parent" refId="314"/>
                              </be>
                              <be refId="350" clsId="FilterNode">
                                <l key="dimensionOids" refId="351" ln="1" eid="DimensionOid">
                                  <cust clsId="DimensionOid">504552-45-3036---</cust>
                                </l>
                                <l key="AdHocParamDimensionOids" refId="352" ln="0" eid="DimensionOid"/>
                                <be key="data" refId="353" clsId="FilterNodeData">
                                  <ref key="filterNode" refId="350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5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14</cust>
                                <s key="cod"/>
                                <s key="desc"/>
                                <i key="index">5</i>
                                <l key="children" refId="355" ln="0" eid="Framework.com.tagetik.trees.INode,framework"/>
                                <ref key="parent" refId="314"/>
                              </be>
                              <be refId="356" clsId="FilterNode">
                                <l key="dimensionOids" refId="357" ln="1" eid="DimensionOid">
                                  <cust clsId="DimensionOid">504552-45-3037---</cust>
                                </l>
                                <l key="AdHocParamDimensionOids" refId="358" ln="0" eid="DimensionOid"/>
                                <be key="data" refId="359" clsId="FilterNodeData">
                                  <ref key="filterNode" refId="356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60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15</cust>
                                <s key="cod"/>
                                <s key="desc"/>
                                <i key="index">6</i>
                                <l key="children" refId="361" ln="0" eid="Framework.com.tagetik.trees.INode,framework"/>
                                <ref key="parent" refId="314"/>
                              </be>
                              <be refId="362" clsId="FilterNode">
                                <l key="dimensionOids" refId="363" ln="1" eid="DimensionOid">
                                  <cust clsId="DimensionOid">504552-45-3038---</cust>
                                </l>
                                <l key="AdHocParamDimensionOids" refId="364" ln="0" eid="DimensionOid"/>
                                <be key="data" refId="365" clsId="FilterNodeData">
                                  <ref key="filterNode" refId="362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66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16</cust>
                                <s key="cod"/>
                                <s key="desc"/>
                                <i key="index">7</i>
                                <l key="children" refId="367" ln="0" eid="Framework.com.tagetik.trees.INode,framework"/>
                                <ref key="parent" refId="314"/>
                              </be>
                              <be refId="368" clsId="FilterNode">
                                <l key="dimensionOids" refId="369" ln="1" eid="DimensionOid">
                                  <cust clsId="DimensionOid">504552-45-3039---</cust>
                                </l>
                                <l key="AdHocParamDimensionOids" refId="370" ln="0" eid="DimensionOid"/>
                                <be key="data" refId="371" clsId="FilterNodeData">
                                  <ref key="filterNode" refId="368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72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17</cust>
                                <s key="cod"/>
                                <s key="desc"/>
                                <i key="index">8</i>
                                <l key="children" refId="373" ln="0" eid="Framework.com.tagetik.trees.INode,framework"/>
                                <ref key="parent" refId="314"/>
                              </be>
                              <be refId="374" clsId="FilterNode">
                                <l key="dimensionOids" refId="375" ln="1" eid="DimensionOid">
                                  <cust clsId="DimensionOid">504552-45-3130---</cust>
                                </l>
                                <l key="AdHocParamDimensionOids" refId="376" ln="0" eid="DimensionOid"/>
                                <be key="data" refId="377" clsId="FilterNodeData">
                                  <ref key="filterNode" refId="374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7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18</cust>
                                <s key="cod"/>
                                <s key="desc"/>
                                <i key="index">9</i>
                                <l key="children" refId="379" ln="0" eid="Framework.com.tagetik.trees.INode,framework"/>
                                <ref key="parent" refId="314"/>
                              </be>
                              <be refId="380" clsId="FilterNode">
                                <l key="dimensionOids" refId="381" ln="1" eid="DimensionOid">
                                  <cust clsId="DimensionOid">504552-45-3131---</cust>
                                </l>
                                <l key="AdHocParamDimensionOids" refId="382" ln="0" eid="DimensionOid"/>
                                <be key="data" refId="383" clsId="FilterNodeData">
                                  <ref key="filterNode" refId="380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8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19</cust>
                                <s key="cod"/>
                                <s key="desc"/>
                                <i key="index">10</i>
                                <l key="children" refId="385" ln="0" eid="Framework.com.tagetik.trees.INode,framework"/>
                                <ref key="parent" refId="314"/>
                              </be>
                              <be refId="386" clsId="FilterNode">
                                <l key="dimensionOids" refId="387" ln="1" eid="DimensionOid">
                                  <cust clsId="DimensionOid">504552-45-3132---</cust>
                                </l>
                                <l key="AdHocParamDimensionOids" refId="388" ln="0" eid="DimensionOid"/>
                                <be key="data" refId="389" clsId="FilterNodeData">
                                  <ref key="filterNode" refId="386"/>
                                  <s key="dim">PER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99"/>
                                  <b key="signChange">S</b>
                                  <b key="nativeSignChange">N</b>
                                  <l key="nav" refId="390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20</cust>
                                <s key="cod"/>
                                <s key="desc"/>
                                <i key="index">11</i>
                                <l key="children" refId="391" ln="0" eid="Framework.com.tagetik.trees.INode,framework"/>
                                <ref key="parent" refId="314"/>
                              </be>
                            </l>
                            <ref key="parent" refId="308"/>
                          </be>
                        </l>
                        <ref key="parent" refId="268"/>
                      </be>
                      <be refId="392" clsId="FilterNode">
                        <l key="dimensionOids" refId="393" ln="0" eid="DimensionOid"/>
                        <l key="AdHocParamDimensionOids" refId="394" ln="0" eid="DimensionOid"/>
                        <be key="data" refId="395" clsId="FilterNodeData">
                          <ref key="filterNode" refId="392"/>
                          <s key="dim">SCE</s>
                          <i key="segmentLevel">0</i>
                          <ref key="segment" refId="41"/>
                          <b key="placeHolder">S</b>
                          <ref key="weight" refId="42"/>
                          <ref key="change" refId="43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39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21</cust>
                        <s key="cod"/>
                        <s key="desc"/>
                        <i key="index">2</i>
                        <l key="children" refId="397" ln="1" eid="Framework.com.tagetik.trees.INode,framework">
                          <be refId="398" clsId="FilterNode">
                            <l key="dimensionOids" refId="399" ln="0" eid="DimensionOid"/>
                            <l key="AdHocParamDimensionOids" refId="400" ln="0" eid="DimensionOid"/>
                            <be key="data" refId="401" clsId="FilterNodeData">
                              <ref key="filterNode" refId="398"/>
                              <s key="dim">LUNPER</s>
                              <i key="segmentLevel">0</i>
                              <ref key="segment" refId="41"/>
                              <b key="placeHolder">S</b>
                              <ref key="weight" refId="42"/>
                              <ref key="change" refId="43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402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22</cust>
                            <s key="cod"/>
                            <s key="desc"/>
                            <i key="index">0</i>
                            <l key="children" refId="403" ln="4" eid="Framework.com.tagetik.trees.INode,framework">
                              <be refId="404" clsId="FilterNode">
                                <l key="dimensionOids" refId="405" ln="0" eid="DimensionOid"/>
                                <l key="AdHocParamDimensionOids" refId="406" ln="0" eid="DimensionOid"/>
                                <be key="data" refId="407" clsId="FilterNodeData">
                                  <ref key="filterNode" refId="404"/>
                                  <s key="dim">PER</s>
                                  <i key="segmentLevel">0</i>
                                  <ref key="segment" refId="41"/>
                                  <be key="reportingFormula" refId="408" clsId="ReportingFormula">
                                    <b key="serverFormula">N</b>
                                    <b key="formulaRule">N</b>
                                    <s key="formula">SUBTOTAL(9, {9}:{20})</s>
                                  </be>
                                  <be key="dictionaryHeader" refId="409" clsId="MultiDesc">
                                    <a key="desc" refId="410" ln="4" eid="SYS_STR">
                                      <s>Total</s>
                                      <s>Total</s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42"/>
                                  <ref key="change" refId="43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411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23</cust>
                                <s key="cod"/>
                                <s key="desc"/>
                                <i key="index">0</i>
                                <l key="children" refId="412" ln="0" eid="Framework.com.tagetik.trees.INode,framework"/>
                                <ref key="parent" refId="398"/>
                              </be>
                              <be refId="413" clsId="FilterNode">
                                <l key="dimensionOids" refId="414" ln="0" eid="DimensionOid"/>
                                <l key="AdHocParamDimensionOids" refId="415" ln="0" eid="DimensionOid"/>
                                <be key="data" refId="416" clsId="FilterNodeData">
                                  <ref key="filterNode" refId="413"/>
                                  <s key="dim">PER</s>
                                  <i key="segmentLevel">0</i>
                                  <ref key="segment" refId="51"/>
                                  <b key="placeHolder">S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26</cust>
                                <s key="cod">PH</s>
                                <s key="desc"/>
                                <i key="index">0</i>
                                <ref key="parent" refId="398"/>
                              </be>
                              <be refId="417" clsId="FilterNode">
                                <l key="dimensionOids" refId="418" ln="0" eid="DimensionOid"/>
                                <l key="AdHocParamDimensionOids" refId="419" ln="0" eid="DimensionOid"/>
                                <be key="data" refId="420" clsId="FilterNodeData">
                                  <ref key="filterNode" refId="417"/>
                                  <s key="dim">PER</s>
                                  <i key="segmentLevel">0</i>
                                  <ref key="segment" refId="51"/>
                                  <be key="reportingFormula" refId="421" clsId="ReportingFormula">
                                    <b key="serverFormula">N</b>
                                    <b key="formulaRule">N</b>
                                    <s key="formula">{23}-{4}</s>
                                  </be>
                                  <be key="dictionaryHeader" refId="422" clsId="MultiDesc">
                                    <a key="desc" refId="423" ln="4" eid="SYS_STR">
                                      <s>$ Variance</s>
                                      <s>$ Variance</s>
                                      <s/>
                                      <nl/>
                                    </a>
                                  </be>
                                  <b key="placeHolder">S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25</cust>
                                <s key="cod">PH</s>
                                <s key="desc"/>
                                <i key="index">0</i>
                                <ref key="parent" refId="398"/>
                              </be>
                              <be refId="424" clsId="FilterNode">
                                <l key="dimensionOids" refId="425" ln="0" eid="DimensionOid"/>
                                <l key="AdHocParamDimensionOids" refId="426" ln="0" eid="DimensionOid"/>
                                <be key="data" refId="427" clsId="FilterNodeData">
                                  <ref key="filterNode" refId="424"/>
                                  <s key="dim">PER</s>
                                  <i key="segmentLevel">0</i>
                                  <ref key="segment" refId="51"/>
                                  <be key="reportingFormula" refId="428" clsId="ReportingFormula">
                                    <b key="serverFormula">N</b>
                                    <b key="formulaRule">S</b>
                                    <s key="formula">{25}/{23}</s>
                                  </be>
                                  <be key="dictionaryHeader" refId="429" clsId="MultiDesc">
                                    <a key="desc" refId="430" ln="4" eid="SYS_STR">
                                      <s>% Variance</s>
                                      <s>% Variance</s>
                                      <s/>
                                      <nl/>
                                    </a>
                                  </be>
                                  <b key="placeHolder">S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5</s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24</cust>
                                <s key="cod">PH</s>
                                <s key="desc"/>
                                <i key="index">0</i>
                                <ref key="parent" refId="398"/>
                              </be>
                            </l>
                            <ref key="parent" refId="392"/>
                          </be>
                        </l>
                        <ref key="parent" refId="268"/>
                      </be>
                    </l>
                  </be>
                  <be key="matrixFilters" refId="431" clsId="FilterNode">
                    <l key="dimensionOids" refId="432" ln="0" eid="DimensionOid"/>
                    <l key="AdHocParamDimensionOids" refId="433" ln="0" eid="DimensionOid"/>
                    <be key="data" refId="434" clsId="FilterNodeData">
                      <ref key="filterNode" refId="431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435" ln="1" eid="Framework.com.tagetik.trees.INode,framework">
                      <be refId="436" clsId="FilterNode">
                        <l key="dimensionOids" refId="437" ln="1" eid="DimensionOid">
                          <cust clsId="DimensionOid">544950-45-5449505F4F56---</cust>
                        </l>
                        <l key="AdHocParamDimensionOids" refId="438" ln="0" eid="DimensionOid"/>
                        <be key="data" refId="439" clsId="FilterNodeData">
                          <ref key="filterNode" refId="436"/>
                          <s key="dim">TIP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440" ln="0" eid="ScenarioModifierValue"/>
                          <i key="sco">0</i>
                          <b key="applyFiltersForForcedScenarioPeriodoMap">N</b>
                          <b key="lineSplit">N</b>
                          <s key="adHocStyleSheetId"/>
                          <b key="addRCRow">N</b>
                          <b key="complementary">N</b>
                          <b key="breakLevelSubtotal">N</b>
                        </be>
                        <cust key="id" clsId="FilterOid">4</cust>
                        <s key="cod"/>
                        <s key="desc"/>
                        <i key="index">0</i>
                        <l key="children" refId="441" ln="1" eid="Framework.com.tagetik.trees.INode,framework">
                          <be refId="442" clsId="FilterNode">
                            <l key="dimensionOids" refId="443" ln="1" eid="DimensionOid">
                              <cust clsId="DimensionOid">434154-45-24414D4F554E54---</cust>
                            </l>
                            <l key="AdHocParamDimensionOids" refId="444" ln="0" eid="DimensionOid"/>
                            <be key="data" refId="445" clsId="FilterNodeData">
                              <ref key="filterNode" refId="442"/>
                              <s key="dim">CAT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446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/>
                              <b key="addRCRow">N</b>
                              <b key="complementary">N</b>
                              <b key="breakLevelSubtotal">N</b>
                            </be>
                            <cust key="id" clsId="FilterOid">6</cust>
                            <s key="cod"/>
                            <s key="desc"/>
                            <i key="index">0</i>
                            <l key="children" refId="447" ln="1" eid="Framework.com.tagetik.trees.INode,framework">
                              <be refId="448" clsId="FilterNode">
                                <l key="dimensionOids" refId="449" ln="1" eid="DimensionOid">
                                  <cust clsId="DimensionOid">4445535431-45-473031---</cust>
                                </l>
                                <l key="AdHocParamDimensionOids" refId="450" ln="0" eid="DimensionOid"/>
                                <be key="data" refId="451" clsId="FilterNodeData">
                                  <ref key="filterNode" refId="448"/>
                                  <s key="dim">DEST1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452" ln="0" eid="ScenarioModifierValue"/>
                                  <i key="sco">0</i>
                                  <b key="applyFiltersForForcedScenarioPeriodoMap">N</b>
                                  <b key="lineSplit">N</b>
                                  <s key="adHocStyleSheetId"/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8</cust>
                                <s key="cod"/>
                                <s key="desc"/>
                                <i key="index">0</i>
                                <l key="children" refId="453" ln="1" eid="Framework.com.tagetik.trees.INode,framework">
                                  <be refId="454" clsId="FilterNode">
                                    <l key="dimensionOids" refId="455" ln="1" eid="DimensionOid">
                                      <cust clsId="DimensionOid">4445535433-45-473031---</cust>
                                    </l>
                                    <l key="AdHocParamDimensionOids" refId="456" ln="0" eid="DimensionOid"/>
                                    <be key="data" refId="457" clsId="FilterNodeData">
                                      <ref key="filterNode" refId="454"/>
                                      <s key="dim">DEST3</s>
                                      <i key="segmentLevel">0</i>
                                      <ref key="segment" refId="51"/>
                                      <b key="placeHolder">N</b>
                                      <ref key="weight" refId="42"/>
                                      <ref key="change" refId="55"/>
                                      <ref key="dataType" refId="44"/>
                                      <b key="prevailingDataType">N</b>
                                      <ref key="editability" refId="45"/>
                                      <b key="signChange">N</b>
                                      <b key="nativeSignChange">N</b>
                                      <l key="nav" refId="458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s key="adHocStyleSheetId"/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10</cust>
                                    <s key="cod"/>
                                    <s key="desc"/>
                                    <i key="index">0</i>
                                    <l key="children" refId="459" ln="1" eid="Framework.com.tagetik.trees.INode,framework">
                                      <be refId="460" clsId="FilterNode">
                                        <l key="dimensionOids" refId="461" ln="1" eid="DimensionOid">
                                          <cust clsId="DimensionOid">564F435F24-45-3530303130---</cust>
                                        </l>
                                        <l key="AdHocParamDimensionOids" refId="462" ln="0" eid="DimensionOid"/>
                                        <be key="data" refId="463" clsId="FilterNodeData">
                                          <ref key="filterNode" refId="460"/>
                                          <s key="dim">VOC_$</s>
                                          <i key="segmentLevel">0</i>
                                          <ref key="segment" refId="51"/>
                                          <b key="placeHolder">N</b>
                                          <ref key="weight" refId="42"/>
                                          <ref key="change" refId="55"/>
                                          <ref key="dataType" refId="44"/>
                                          <b key="prevailingDataType">N</b>
                                          <ref key="editability" refId="45"/>
                                          <b key="signChange">N</b>
                                          <b key="nativeSignChange">N</b>
                                          <l key="nav" refId="464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s key="adHocStyleSheetId"/>
                                          <b key="addRCRow">N</b>
                                          <b key="complementary">N</b>
                                          <b key="breakLevelSubtotal">N</b>
                                        </be>
                                        <cust key="id" clsId="FilterOid">17</cust>
                                        <s key="cod"/>
                                        <s key="desc"/>
                                        <i key="index">0</i>
                                        <l key="children" refId="465" ln="0" eid="Framework.com.tagetik.trees.INode,framework"/>
                                        <ref key="parent" refId="454"/>
                                      </be>
                                    </l>
                                    <ref key="parent" refId="448"/>
                                  </be>
                                </l>
                                <ref key="parent" refId="442"/>
                              </be>
                            </l>
                            <ref key="parent" refId="436"/>
                          </be>
                        </l>
                        <ref key="parent" refId="431"/>
                      </be>
                    </l>
                  </be>
                  <be key="rowHeaders" refId="466" clsId="ReportingHeaders">
                    <m key="headers" refId="467" keid="SYS_PR_I" veid="System.Collections.IList">
                      <key>
                        <i>-1</i>
                      </key>
                      <val>
                        <l refId="468" ln="1">
                          <s>$Cust_Dim2(HIERARCHY("01")).desc</s>
                        </l>
                      </val>
                    </m>
                    <m key="headersDims" refId="469" keid="SYS_PR_I" veid="SYS_STR">
                      <key>
                        <i>-1</i>
                      </key>
                      <val>
                        <s>DEST2_01</s>
                      </val>
                    </m>
                  </be>
                  <be key="columnHeaders" refId="470" clsId="ReportingHeaders">
                    <m key="headers" refId="471" keid="SYS_PR_I" veid="System.Collections.IList">
                      <key>
                        <i>-2</i>
                      </key>
                      <val>
                        <l refId="472" ln="1">
                          <s>$Scenario.desc</s>
                        </l>
                      </val>
                      <key>
                        <i>-1</i>
                      </key>
                      <val>
                        <l refId="473" ln="1">
                          <s>$Period.desc</s>
                        </l>
                      </val>
                    </m>
                    <m key="headersDims" refId="474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PER</s>
                      </val>
                    </m>
                  </be>
                  <ref key="styleType" refId="245"/>
                  <b key="subtotalOnTop">N</b>
                  <b key="leavesFirst">N</b>
                  <b key="groupSubtotal">N</b>
                  <b key="replaceWithPlaceholder">S</b>
                  <b key="onlyFirstHeader">N</b>
                  <b key="allowRangeBreak">N</b>
                  <b key="showZeros">N</b>
                  <i key="maxRows">0</i>
                  <ref key="rowsExpansionMode" refId="246"/>
                  <i key="maxCols">0</i>
                  <ref key="colsExpansionMode" refId="247"/>
                  <ref key="columnsAutofitMode" refId="248"/>
                  <b key="useForcedBoundDims">N</b>
                  <ref key="disableHints" refId="249"/>
                  <ref key="tipoAllineamentoLordiIC" refId="250"/>
                  <set key="forcedDimensions" refId="475" ln="1" eid="SYS_STR">
                    <s>SCE</s>
                  </set>
                  <b key="bindOriginalAmountOnSave">N</b>
                  <b key="showLink">N</b>
                  <i key="index">1</i>
                  <b key="excludeValuatingSheetsWithZeroValues">N</b>
                  <m key="addictionalStyleSheets" refId="476" keid="SYS_STR" veid="StyleSheet">
                    <key>
                      <s>5</s>
                    </key>
                    <val>
                      <be refId="477" clsId="StyleSheet">
                        <s key="cod">TGK_01</s>
                        <bi key="blob" ln="12469">UEsDBBQABgAIAAAAIQD6L6gVgAEAAHYF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MlN9OwjAUxu9NfIelt2YrYGKMYXCheKkk4gOU7ow1dG3TUxDe3rPyJ9HAdNFEb7Zs5Xy/79vhnOF4U+tkDR6VNTnrZz2WgJG2UGaRs9fZY3rLEgzCFEJbAznbArLx6PJiONs6wISqDeasCsHdcY6yglpgZh0YOimtr0WgR7/gTsilWAAf9Ho3XFoTwIQ0NBpsNHyAUqx0SCYber1zMleGJfe73zWonAnntJIikFG+NsUnSGrLUkkorFzVJJ2h8yAKrABCrTPnFRH9C4RAwZDxk0wPGrtB96kyqozGsFIOryj6GUJzcj7Vvu6Z2uFVAclU+PAkasrON5q/Wb+cW7vM2kWaT1NjChsJOov5s1pIbydGzDXQmVDm4LCFFCuRx1v/G8iPLW/vRpMkCnf0MfgnPq7/yEeg6QIerz9vSZT5ogEYthrwl9PuRNvINMRTbx3SnvDQnX4YyqY6dSQEPig4juWpP/2RSEumO/DT6oFmixVQnGDzuDVH7wAAAP//AwBQSwMEFAAGAAgAAAAhALVVMCP1AAAATAIAAAsACAJfcmVscy8ucmVscy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s9OwzAMxu9IvEPk++puSAihpbtMSLshVB7AJO4ftY2jJED39oQDgkpj29H2588/W97u5mlUHxxiL07DuihBsTNie9dqeK2fVg+gYiJnaRTHGo4cYVfd3mxfeKSUm2LX+6iyi4saupT8I2I0HU8UC/HscqWRMFHKYWjRkxmoZdyU5T2Gvx5QLTzVwWoIB3sHqj76PPmytzRNb3gv5n1il06MQJ4TO8t25UNmC6nP26iaQstJgxXznNMRyfsiYwOeJtpcT/T/tjhxIkuJ0Ejg8zzfinNA6+uBLp9oqfi9zjzip4ThTWT4YcHFD1RfAAAA//8DAFBLAwQUAAYACAAAACEAu4FE2vAAAABHAw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JLNasMwEITvhbyD2Hu8ttOWEiLnUgq5lvQBhL3+IbYktNsfv32FC24Dwb2EXASjRTMfq9ntv4ZefVDgzlkNWZKCIlu6qrONhrfjy/oJFIuxlemdJQ0jMeyL1d3ulXoj8RG3nWcVXSxraEX8FpHLlgbDifNk46R2YTASZWjQm/JkGsI8TR8x/PWA4sxTHSoN4VBtQB1HH5P/93Z13ZX07Mr3gaxciMBPF07cEkk0NaEh0TBfMU6TTRKJAS/D5DeGyZdgshvDZEswD9eEYRn72LP5j370Uvz9NeMltpd+0yeJ0zmvAM/qX3wDAAD//wMAUEsDBBQABgAIAAAAIQD7MZUUXwEAAHECAAAPAAAAeGwvd29ya2Jvb2sueG1sjFLLTsMwELwj8Q+W79SJk1alalIJAaIXhEQpZxNvGquOHdkOaf+eTaqGIjhw2tdkdmec5epQa/IJzitrMhpPIkrAFFYqs8vo2+bxZk6JD8JIoa2BjB7B01V+fbXsrNt/WLsnSGB8RqsQmgVjvqigFn5iGzA4Ka2rRcDS7ZhvHAjpK4BQa8ajaMZqoQw9MSzcfzhsWaoC7m3R1mDCicSBFgHP95VqPM2XpdKwPSkiommeRY13HzQlWvjwIFUAmdEplraDHw3XNnet0ji9TaKEsnwU+eKIhFK0OmxQ3pkd/eIp57Me2VuxVdD574/6khzelZG2yyhP0drjuUpxfzdM3pUMFTJNk3jsPYHaVQGb8ZxHPTu7oB8MxDVDJGZQ99qbGuNL9XGNAjB3C4WJW8u4Z/iF5hdozEc0/xOdXKAxH9GDS2wgx5MKoQu0qg/DEel0xoft7Py35F8AAAD//wMAUEsDBBQABgAIAAAAIQD7YqVtlAYAAKcbAAATAAAAeGwvdGhlbWUvdGhlbWUxLnhtbOxZT2/bNhS/D9h3IHRvbSe2Gwd1itixm61NG8Ruhx5pmZZYU6JA0kl9G9rjgAHDumGXAbvtMGwr0AK7dJ8mW4etA/oV9khKshjLS9IGG9bVh0Qif3z/3+MjdfXag4ihQyIk5XHbq12ueojEPh/TOGh7d4b9SxsekgrHY8x4TNrenEjv2tb7713FmyokEUGwPpabuO2FSiWblYr0YRjLyzwhMcxNuIiwglcRVMYCHwHdiFXWqtVmJcI09lCMIyB7ezKhPkFDTdLbyoj3GLzGSuoBn4mBJk2cFQY7ntY0Qs5llwl0iFnbAz5jfjQkD5SHGJYKJtpe1fy8ytbVCt5MFzG1Ym1hXd/80nXpgvF0zfAUwShnWuvXW1d2cvoGwNQyrtfrdXu1nJ4BYN8HTa0sRZr1/katk9EsgOzjMu1utVGtu/gC/fUlmVudTqfRSmWxRA3IPtaX8BvVZn17zcEbkMU3lvD1zna323TwBmTxzSV8/0qrWXfxBhQyGk+X0Nqh/X5KPYdMONsthW8AfKOawhcoiIY8ujSLCY/VqliL8H0u+gDQQIYVjZGaJ2SCfYjiLo5GgmLNAG8SXJixQ75cGtK8kPQFTVTb+zDBkBELeq+ef//q+VP06vmT44fPjh/+dPzo0fHDHy0tZ+EujoPiwpfffvbn1x+jP55+8/LxF+V4WcT/+sMnv/z8eTkQMmgh0Ysvn/z27MmLrz79/bvHJfBtgUdF+JBGRKJb5Agd8Ah0M4ZxJScjcb4VwxBTZwUOgXYJ6Z4KHeCtOWZluA5xjXdXQPEoA16f3XdkHYRipmgJ5xth5AD3OGcdLkoNcEPzKlh4OIuDcuZiVsQdYHxYxruLY8e1vVkCVTMLSsf23ZA4Yu4zHCsckJgopOf4lJAS7e5R6th1j/qCSz5R6B5FHUxLTTKkIyeQFot2aQR+mZfpDK52bLN3F3U4K9N6hxy6SEgIzEqEHxLmmPE6nikclZEc4ogVDX4Tq7BMyMFc+EVcTyrwdEAYR70xkbJszW0B+hacfgNDvSp1+x6bRy5SKDoto3kTc15E7vBpN8RRUoYd0DgsYj+QUwhRjPa5KoPvcTdD9Dv4Accr3X2XEsfdpxeCOzRwRFoEiJ6ZiRJfXifcid/BnE0wMVUGSrpTqSMa/13ZZhTqtuXwrmy3vW3YxMqSZ/dEsV6F+w+W6B08i/cJZMXyFvWuQr+r0N5bX6FX5fLF1+VFKYYqrRsS22ubzjta2XhPKGMDNWfkpjS9t4QNaNyHQb3OHDpJfhBLQnjUmQwMHFwgsFmDBFcfURUOQpxA317zNJFApqQDiRIu4bxohktpazz0/sqeNhv6HGIrh8Rqj4/t8Loezo4bORkjVWDOtBmjdU3grMzWr6REQbfXYVbTQp2ZW82IZoqiwy1XWZvYnMvB5LlqMJhbEzobBP0QWLkJx37NGs47mJGxtrv1UeYW44WLdJEM8ZikPtJ6L/uoZpyUxcqSIloPGwz67HiK1QrcWprsG3A7i5OK7Oor2GXeexMvZRG88BJQO5mOLC4mJ4vRUdtrNdYaHvJx0vYmcFSGxygBr0vdTGIWwH2Tr4QN+1OT2WT5wputTDE3CWpw+2HtvqSwUwcSIdUOlqENDTOVhgCLNScr/1oDzHpRCpRUo7NJsb4BwfCvSQF2dF1LJhPiq6KzCyPadvY1LaV8pogYhOMjNGIzcYDB/TpUQZ8xlXDjYSqCfoHrOW1tM+UW5zTpipdiBmfHMUtCnJZbnaJZJlu4KUi5DOatIB7oViq7Ue78qpiUvyBVimH8P1NF7ydwBbE+1h7w4XZYYKQzpe1xoUIOVSgJqd8X0DiY2gHRAle8MA1BBXfU5r8gh/q/zTlLw6Q1nCTVAQ2QoLAfqVAQsg9lyUTfKcRq6d5lSbKUkImogrgysWKPyCFhQ10Dm3pv91AIoW6qSVoGDO5k/LnvaQaNAt3kFPPNqWT53mtz4J/ufGwyg1JuHTYNTWb/XMS8PVjsqna9WZ7tvUVF9MSizapnWQHMCltBK0371xThnFutrVhLGq81MuHAi8saw2DeECVwkYT0H9j/qPCZ/eChN9QhP4DaiuD7hSYGYQNRfck2HkgXSDs4gsbJDtpg0qSsadPWSVst26wvuNPN+Z4wtpbsLP4+p7Hz5sxl5+TiRRo7tbBjazu20tTg2ZMpCkOT7CBjHGO+lBU/ZvHRfXD0Dnw2mDElTTDBpyqBoYcemDyA5LcczdKtvwAAAP//AwBQSwMEFAAGAAgAAAAhADttMkvBAAAAQgEAACMAAAB4bC93b3Jrc2hlZXRzL19yZWxzL3NoZWV0MS54bWwucmVsc4SPwYrCMBRF9wP+Q3h7k9aFDENTNyK4VecDYvraBtuXkPcU/XuzHGXA5eVwz+U2m/s8qRtmDpEs1LoCheRjF2iw8HvaLb9BsTjq3BQJLTyQYdMuvpoDTk5KiceQWBULsYVRJP0Yw37E2bGOCamQPubZSYl5MMn5ixvQrKpqbfJfB7QvTrXvLOR9V4M6PVJZ/uyOfR88bqO/zkjyz4RJOZBgPqJIOchF7fKAYkHrd/aea30OBKZtzMvz9gkAAP//AwBQSwMEFAAGAAgAAAAhAH7BiuVgAQAAdAIAABgAAAB4bC93b3Jrc2hlZXRzL3NoZWV0Mi54bWyMksFqwzAMhu+DvYPxvXHardsakpRBKethMMa2u+MoiWlsBdtd27efkpAy6KU3CUmff/1yuj6Zlv2C8xptxudRzBlYhaW2dca/v7azF858kLaULVrI+Bk8X+f3d+kR3d43AIERwfqMNyF0iRBeNWCkj7ADS5UKnZGBUlcL3zmQ5TBkWrGI4ydhpLZ8JCTuFgZWlVawQXUwYMMIcdDKQPp9ozs/0Yy6BWek2x+6mULTEaLQrQ7nAcqZUcmutuhk0dLep/mjVBN7SK7wRiuHHqsQEU6MQq93XomVIFKelpo26G1nDqqMv865yNPBnB8NR/8vZr3XBeK+L+zKjMd9q7jq3Q5efzhWQiUPbfjE4xvougl02CVp71dIyvMGvCLvCBMtlpdHNzJIonayhnfpam09a6Eaup45cyMmjigO2PWzz4QsMAQ0U9bQdYGuGEcPnFWIYUp6tZf/kv8BAAD//wMAUEsDBBQABgAIAAAAIQB+wYrlYAEAAHQCAAAYAAAAeGwvd29ya3NoZWV0cy9zaGVldDMueG1sjJLBasMwDIbvg72D8b1x2q3bGpKUQSnrYTDGtrvjKIlpbAXbXdu3n5KQMuilNwlJn3/9cro+mZb9gvMabcbnUcwZWIWltnXGv7+2sxfOfJC2lC1ayPgZPF/n93fpEd3eNwCBEcH6jDchdIkQXjVgpI+wA0uVCp2RgVJXC985kOUwZFqxiOMnYaS2fCQk7hYGVpVWsEF1MGDDCHHQykD6faM7P9GMugVnpNsfuplC0xGi0K0O5wHKmVHJrrboZNHS3qf5o1QTe0iu8EYrhx6rEBFOjEKvd16JlSBSnpaaNuhtZw6qjL/OucjTwZwfDUf/L2a91wXivi/syozHfau46t0OXn84VkIlD234xOMb6LoJdNglae9XSMrzBrwi7wgTLZaXRzcySKJ2soZ36WptPWuhGrqeOXMjJo4oDtj1s8+ELDAENFPW0HWBrhhHD5xViGFKerWX/5L/AQAA//8DAFBLAwQUAAYACAAAACEAIf1Ck8oDAABfEgAAGAAAAHhsL3dvcmtzaGVldHMvc2hlZXQxLnhtbKyYUW+bMBSF3yftPyC/L4SQtmsUUnWqpvVh0rRue3fASawCRsZd1/36HdtJF7goIQ1vkJjPvsf33IuZ3/wp8uC30LVUZcKi0ZgFokxVJst1wn7++PzhIwtqw8uM56oUCXsRNbtZvH83f1b6sd4IYQIQyjphG2OqWRjW6UYUvB6pSpT4Z6V0wQ1u9TqsKy145h4q8nAyHl+GBZcl84SZ7sNQq5VMxZ1KnwpRGg/RIucG6683sqp3tCLtgyu4fnyqPqSqqIBYylyaFwdlQZHO7tel0nyZI+4/0ZSnO7a7IfhCplrVamVGwIV+oTTm6/A6BGkxzyQisLIHWqwSdhvNbqdTFi7mTqBfUjzXe9eB4csHkYvUiAz7xAKr/1KpRzvwHj+N7aMhefaz0/+bDjKx4k+5+a6evwi53hhALhCPDWuWvdyJOoWewIwmF6+LuOOGL+ZaPQfYG8xZV9zudDTDdfeTi3lqx97awfYRuyY8/wqZnAKxgxM28ZHtU+ImxQczukI8ZiPTx0/KRte5xBjC+xVaBuB0idMO+OVox/6hKsfuP5HlYaIJ0QLIfUHbUexmOiy0hYAeE/plk36YYgcjLCrG1SkUOxhrcUnc2HVbQ/ZSpx1pr/2yDMA/kkCvO+Dn7JflQQu6XxFq46Ew+m2YoyQspoFA/gb/8Ja50Qm7Inpg5Q3Mm9R2EKhA8wo/HcT3VMHbL+5QueW/Iyps3XVJZWjZ6wjH+yiiuRudZCQ3GrrRmhWdZCU3OmEdSdLy0pGwvGuiDk7LNkc4W1NQmVGdG+lwmONGQx7XYholAoX4FI7vL9dk11FmG5g3Jb+DYJUd+EGSH9XalpgOMU/KfRRaV6loCUALH0CFbWvpUKFlCSfyOSV34vtP3DFVyzXnT+Wb1JQaFK2FinZWVN58Ma2hk5b5zo/K+zOmUeGnYaNyQDRimnVxy8JnR+WAmIpWC/SNgaPy75pT+gaE7Rt4qm3ro60mbtnfCXjx/722X2t1FLxgdKg2RFkA11adKe3c8dBlwQExFTVQPHRZcECIRmsyXtQG3v9tWehIta6ycPr++1rgz5KNHoui1wjlcK92oyEJNTpc0uC087TX+7yDwNykhSOzKP2cOuyACITO1GXtk/VGejpDUPwRO/eTyTf5PTP7M74/mld8Lb5yvZZlHeRi5c7vsIb2B/zxCNfGHlhxBdsulTGq2N1t8C1G4Kw+HiGAlVJmd4Mzu+U+CPNUBRWvhH6Qf/EJBHmltMRXAvexJWGV0kZzaTDfTGYJ0/eZz+nXT0OLfwAAAP//AwBQSwMEFAAGAAgAAAAhABi3lUagDAAAFE0AAA0AAAB4bC9zdHlsZXMueG1s1Fxpb+M4Ev2+wP4HQcEAu8AksmzFHWfizCZO3D3YPoKOGz3fDNmWYyE6DEnuJLPY/75VpCiREqnDR9I7DUwsuUi+enWwSJm6+P3Z97QfThS7YTDUzZOOrjnBPFy4wcNQ/zYZH5/pWpzYwcL2wsAZ6i9OrP9++fe/XcTJi+fcrxwn0aCLIB7qqyRZnxtGPF85vh2fhGsngG+WYeTbCVxGD0a8jhx7EWMj3zO6nU7f8G030GkP5/68SSe+HT1u1sfz0F/biTtzPTd5IX3pmj8//+MhCCN75gHUZ9Oy56xvclHq3nfnURiHy+QEujPC5dKdO2WUA2NgQE+XF8HGH/tJrM3DTZAM9X52S6Pf/LEACvuWrlGlR+ECYBydHB0dnegGay7InhZkfz066px0Or8qxPuiOIj+opB8J0ouFobvGy8vv/1LIQ9mFkAjEBWKgSgLHUP3rG8jJenyYhkGOVemCZZAg5w/BuFTMMbvgCxgEMUuL+K/tB+2B3dMBDgPvTDSEnAkIJDcCWzfoRIj23NnkYtiS9t3vRd6u4s3iO+lcr4LnoA3DTrC644zQzSpTmeIQlCph3dylSb2KvRtvFfSSAp+7x1KWO+IEHdjfXNINkwCtYrf784ME1pcZJj62sqOYshixP2IFwmczzjoEpoKltyNJhzLrR7vtYJhr3qpA6HgZfWBQGwTQ6C4nickYrxxeQFTQuJEwRgutPTz5GUNSSSA2QvNb1C5GumHyH4xu6fNG8Sh5y4wmT2MSOqKHmZDfTzukP+wm1n6hRssnGcH5gmYJhAOB7gpOMVYt1fjzrh/4LHSlEzMdniVxmfwj4Rkm7GIicFFZmG0gMKGzdZmF+xD711eeM4yAfoj92GFf5NwjTYKkwTKgMuLhWs/hIHtwUeDtWB/sSVURFD8DPVkBcVLIbUTagyUSruvFyYoRBBco/ljcQgSmwAM0f70YGHeT1ysljon1mAwOLPeWZ131mm3T1PtT6lFyai9XIl3qITZPzs7G1g907L+n9SgvvnmlHPOXWKaQoR4ZOFYL9xUH4hmWbyzAXxn4W78cqxl7rub5WtGl6WSvXldzdiLcAMLpjfUXJbiMtp7EHDWaaff7591IeS67QKuRnWgXTY4tGqcX2tGULlV3RDpxAPz2NzxvHuccP5cZpOZdQrmel5ya0lYuOMKB5eg+BEKoPQjnbjoBQwqNILSOWsFiVrRSrPXa+9lDL2TvukVDJBfXZOpNr++8tyHwHdog+KgZPlIkR5sTAr5LgoTZ56QrQ2SWETl+2T1TZFArDHt4W7OWVenXX3e+DMnGpPNjFxPcYDLC1iaUr21VRi5fwFjuKadAxFOpOM2S+LO+TtPkb2eOM/AK6nrjedl0UAKjGC3HCMQSmwixzgWLPW6iDn7CqwC21WIBU+r9CXOfzkLgtFydgCD4LGHthIMzjxJsBJcVOksWKkYT82sRmY3sqoo+ZGcJwFfjU0EfJU2QUOkmYiziTAW40L0zV20LgcXJtgSD2aTeGLomsTTdphxeSA3VIPkCFt7VY4kBI9IcKXZQOumZjscMdSFy8bU2mVKLgbBBfNcAFuzVdQJPl60bCV56a4vnUtUo8Pu7Rajq/IV8aEyU/Vur4IHW8BSeCoAFenG4txYPZyq40bRgbvsYC+sa+BjbmKYZ6Ra0LuVRmwAGgumiu5ZuKk026ES4MBxWVXwbiW4t4FTnafy8FKhU+UCqYdz9KgcToVHNb4iwOpT0QGw7IEL8Nw8Spq5cUXlzpEsdIzPeXYIEHXowyh105PKwBRQXWwqzF3nbVwwCkQ0A0OhtSnvpBl/nS10NC+cP+L+Mt1IKRVAnG9yGVRADhcNLEhl8iim10J+lSlX4VLcYqENnop6p4iuGc8KR2gV95xXCCm6mtu3w8tx3wKvuCWwHfpWmQ3oY0mAQ7x3b1HNCPuZvnHXIa1c2iDfvjjlYv4tx1ZOGdVBwfJ2RebAn0W8KqNmn/wS48CbWEWNzT5MKk39X4xNRmKDrF0elfw25JV15SIdlT6odZvMUxwepGPfeNrMTPgIGXdWFVuGuyM90IzKcNMN/FJlwuHGhPU2DFesac0+l0frZp+9RR8/JjK0Ky1CgQahbvBPF+izht0fM2jPS/nzBk6bCmVoa5guSBlKqSTOLmzfN9tjSKGY+Fs9W7o733bJIdRHuOSmcE3QTVI24y/c5OPuUExwocJNqgIwSJopjeCqrXBtXf7KUcHdGXk6hB6Bq8MUlnwrTk2X2kygN5sUuSVNcVMotZJ8WVb2Lk4Z7D8Nu+JDDNqpfMuJ8c78l1qBiz+1rju4BkcGh1sgI3eNGuCgNM4yKgdWOAomlVJybwALRCid8n3IjM4UVbFM4UZQeUGuuMoL0oyTDkGv2LKGAWhkwTbcqJ5JCM6WYVdssDB0oreNBU0aId92PcZ5mwAc0iI1K1hFmodEzlXOtkNIyENZCAlgj4JkW/SMuAPA4RyVS94CnMzY2/mpCnRFccOB4gwpgIL7lKMe8zXxMRC7W+WBeSypMO5gZ04H8ECWshU6sOpCoYMQNzlq6quN4mg/inAeAurlEyn4NDVGF243CKuKbFnPVbMhKIyfgyvB6HmN1oP7W5AlrPYxm4B30PpWZpFelkPIOqpcWiAeVrCgz6a9CVkT7E7t2y6qXsc/2+BX+c4B4r/dPNqtKTNS41FG2XRQ9HGVForpv34LuQG12eTQZY7WJIfxGwzqkq7V5N9kAZbHnqnyhCKnLXxYQbO0AhU2z7i0KqSKjNsem3mbzWYtMFdMwjyhXGKAj3nizwntqhacRUL37qTw6+f6DJbVfT0WaHuncj9TbD3TjOi2WWDraKqH1INEUTWTCdkrn5NVrtAKKZejuDgSvBRMnk5fMKtJcVYjUUQwGIJNnNzI8gi2ABAZee9u1zCC8QlBOrUL3OQR3FORkwLfvQhtZVc+/XD0KsCbLKyrZx+VnXeIXR4neoSM5CyRw/kMuQNWc6yCXWF7LiwwPcpQZWFh1YSvwvIqVHQeZPvriucCPG0q82a0wa/s5bSpILTyNI4qUgynXAkVMMjQFGI1K9op3EMvzTjkEBdSI+fxjZ+kyW873yNWlmZG3rQNYKlsux0sleXri10etsojOTbb+EH9lNemduSBQohIzZ7Fdo+VC9WJkZKd46TXjfxXDPf6x2n16YitMttBVuWCRvh4TlU+m6cjVSSpIKickoUPeewFD7q40zXi2ZrssZiGx/SH+i+dE5aQCOGS77OMBTsAMI5MIhMhOboocTWasDHIEc/S9z6+dyLWkF8tgHPG+Esv1gLWs5JBr2iT6XVoR5loeoydHStKNWSihLppqXupTmmbYxPOOTMgUO9LgFzfvGcC5OBzUbdrzw4ep1/Dp0xKKjaa0iGnHFfkmHaxv9H0A7xqhHUmBX9jJ/Y/vt1f/ZNJQckoQQ5iDpOAZaFEAk8FbTybCcll7ifawonnkbvG80jaDPVlLbrSJqjAlMZSutcn1fQDnG+PPDd4hNo40mxqcNZzT6oSbQItovBJW8EwTqRt4FcF2I2zgNWmlzHXk3r7J3ex8BwNEeIJ6xE54JT7IuwQS2j6jIenPIYM/GW2cT04G5w9Ki7a8M6z584KwODhKUqB1Lc4uRSS9k2hjdSpuPZTeI3Exg+mgnlMqXn4VpQIBhL2ZCXqf51ewdtvpriAYYIDuRy+iIXzJ5gCpd2h4YTu4IS7RPA+sZMN2GjlwEnHlEZYecgkN7MkhBNrWhrWxD1wssuaSZHcs2YIqNQGtikqhpoW/BV2iaqkcQQGxpTakoEh4T8dZcJSx5m8//d08mU0vbt6fzsdffn47dNn1oCe6y56JGvw9fbuy9fJ9OuX70weZn0JcCZ//+H2VhC3pBHCxCe3n+4+Xk1u+QFgySAbAO1VIlFq3QkRTU2bM9Ot6JcJf7KjB/KaJvKzDnoCt0QN6V4wkDTrUhgf0Hdz68jJIz2iJOSYaQGDlL/vYfSoBc4TZLDwUVvn6aOc5JjdusSL8l/BQEWweM7P2RJyEnyfFDmBm9UIkL0WztLeeMkk+3Ko558/kcPkUNSmUnfujzAhXQz1/PNHfP0E/DQFDYuvDYHB/WhD3iCClQn/JpH87R7C7fwNGeJta2zd0qzFdzLG26NsOK30lhKxE3Ns0k4MDpVBZAAeHFv9GMNLLuCvtoncof6f2+t3g5vbcff4rHN9dmz1nNPjwen1zfGpNbq+uRkPOt3O6L9APL4u7BxeBrXD67jIa8PgrKxpnccevLQrSs2T0n2f3xvq3AUlHAkwADb9P1HCiLPXmV3+DwAA//8DAFBLAwQUAAYACAAAACEAjKGIyWABAAB2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JJRT8IwFIXfTfwPS99Hu42IacaIaPBBSUzEaHxr2gtr2Nqltwj8e7sBE6LxsT3nfj33pPlkV1fRFzjU1oxJMmAkAiOt0mY1Jm+LWXxLIvTCKFFZA2OyByST4voqlw2X1sGLsw04rwGjQDLIZTMmpfcNpxRlCbXAQXCYIC6tq4UPR7eijZBrsQKaMnZDa/BCCS9oC4ybnkiOSCV7ZLNxVQdQkkIFNRiPNBkk9MfrwdX450CnnDlr7fdN2OkY95yt5EHs3TvUvXG73Q62WRcj5E/ox/z5tVs11qbtSgIpciW5dCC8dcVdpcUaQUdTgWKd0zOprbES6Oeh8aUGNd0XjyWEhkptMXqyG0Qb+qg05vS3NTzS7XR4CVQUUvLDTiflPbt/WMxIkbIkjRMWs+EiGXI24tnws01yMd+mPlzUxzz/E7OYjeI0XSQZH454ys6IJ0DR5b78KcU3AAAA//8DAFBLAwQUAAYACAAAACEA+sax0DEBAAAMBgAAJwAAAHhsL3ByaW50ZXJTZXR0aW5ncy9wcmludGVyU2V0dGluZ3MxLmJpbuxTzU4CQQz+Ogg7ZA8SeQGOXEwgoAk3iYCarMtPjOFAYgiYYOJf5MAVX8KDJx7EB/AhfBf5BnaTYWEjB07ETqbttN2230y3hx4ucIUmblGnXiP3uEoocp3gHD6AMqo4XvA6bUYroYEKPXKQaf+gkMz+vjuCND7dsh5CcIiuUpRdlSCv8ovdk5j6wd6UPdN2cjXc45Erh2t23KL00MeY1jfqIcoBnnlqEa2H05VUfn6WPRvpmSsGlbOotwxwKLSkVqI3H7TWsDckAXM53HtAEmBQ6jKC5mu3+JLL9Np6g0jB2KPpMewzNmjd4X7Q9g2xKB2JCjBOAYUbPOCJkzXmLPmUE8oOXmjrc762J2Gv5l9SEq22fY7/yP26gXB6j17v4oCFIZa/YOl/q3MAAAD//wMAUEsDBBQABgAIAAAAIQDDKgN+kwEAAEc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TT2/bMAzF7wP2HQzdGzlJMQyBrGJIN/SwYQGStmdVpmOhsmSIrJHs04+2kcTZn0tvJN/Dw0+UpO4Ojc86SOhiKMR8losMgo2lC/tCPO6+3XwWGZIJpfExQCGOgOJOf/ygNim2kMgBZhwRsBA1UbuSEm0NjcEZy4GVKqbGELdpL2NVOQv30b41EEgu8vyThANBKKG8ac+BYkxcdfTe0DLang+fdseWgbX60rbeWUN8Sv3D2RQxVpR9PVjwSk5FxXRbsG/J0VHnSk5btbXGw5qDdWU8gpKXgXoA0y9tY1xCrTpadWAppgzdL17bQmQvBqHHKURnkjOBGKu3jc1Q+xYp6eeYXrEGIFSSDeNwKKfeae1u9XIwcHFt7ANGEBauEXeOPODPamMS/YN4OSUeGEbeEWfb882nfGfSQVr8XxpJp6caFsV8fxCtY9OacGThXH134RUf2128NwSnS7geqm1tEpR8byf9MlAPvP/k+5B1bcIeypPnb6F/Mk/jv9Dz21m+zPk1TGZKXn6A/g0AAP//AwBQSwECLQAUAAYACAAAACEA+i+oFYABAAB2BQAAEwAAAAAAAAAAAAAAAAAAAAAAW0NvbnRlbnRfVHlwZXNdLnhtbFBLAQItABQABgAIAAAAIQC1VTAj9QAAAEwCAAALAAAAAAAAAAAAAAAAALkDAABfcmVscy8ucmVsc1BLAQItABQABgAIAAAAIQC7gUTa8AAAAEcDAAAaAAAAAAAAAAAAAAAAAN8GAAB4bC9fcmVscy93b3JrYm9vay54bWwucmVsc1BLAQItABQABgAIAAAAIQD7MZUUXwEAAHECAAAPAAAAAAAAAAAAAAAAAA8JAAB4bC93b3JrYm9vay54bWxQSwECLQAUAAYACAAAACEA+2KlbZQGAACnGwAAEwAAAAAAAAAAAAAAAACbCgAAeGwvdGhlbWUvdGhlbWUxLnhtbFBLAQItABQABgAIAAAAIQA7bTJLwQAAAEIBAAAjAAAAAAAAAAAAAAAAAGARAAB4bC93b3Jrc2hlZXRzL19yZWxzL3NoZWV0MS54bWwucmVsc1BLAQItABQABgAIAAAAIQB+wYrlYAEAAHQCAAAYAAAAAAAAAAAAAAAAAGISAAB4bC93b3Jrc2hlZXRzL3NoZWV0Mi54bWxQSwECLQAUAAYACAAAACEAfsGK5WABAAB0AgAAGAAAAAAAAAAAAAAAAAD4EwAAeGwvd29ya3NoZWV0cy9zaGVldDMueG1sUEsBAi0AFAAGAAgAAAAhACH9QpPKAwAAXxIAABgAAAAAAAAAAAAAAAAAjhUAAHhsL3dvcmtzaGVldHMvc2hlZXQxLnhtbFBLAQItABQABgAIAAAAIQAYt5VGoAwAABRNAAANAAAAAAAAAAAAAAAAAI4ZAAB4bC9zdHlsZXMueG1sUEsBAi0AFAAGAAgAAAAhAIyhiMlgAQAAdgIAABEAAAAAAAAAAAAAAAAAWSYAAGRvY1Byb3BzL2NvcmUueG1sUEsBAi0AFAAGAAgAAAAhAPrGsdAxAQAADAYAACcAAAAAAAAAAAAAAAAA8CgAAHhsL3ByaW50ZXJTZXR0aW5ncy9wcmludGVyU2V0dGluZ3MxLmJpblBLAQItABQABgAIAAAAIQDDKgN+kwEAAEcDAAAQAAAAAAAAAAAAAAAAAGYqAABkb2NQcm9wcy9hcHAueG1sUEsFBgAAAAANAA0AcAMAAC8tAAAAAA==</bi>
                        <e key="applyFirst" refId="478" id="MultiplePosBlockType">ROWS</e>
                        <m key="rules" refId="479" keid="SYS_STR" veid="System.Collections.IList">
                          <key>
                            <s>46524D4F424A-45-564F49----434F4C554D4E53-564F49-56414C554553-39</s>
                          </key>
                          <val>
                            <l refId="480" ln="1">
                              <be refId="481" clsId="StyleRule">
                                <be key="ruleCondition" refId="482" clsId="StyleRuleCondition">
                                  <b key="trailing">N</b>
                                  <b key="leading">N</b>
                                </be>
                                <s key="codStile">FST description blank</s>
                              </be>
                            </l>
                          </val>
                          <key>
                            <s>46524D4F424A-45-464F52----434F4C554D4E53-464F52-56414C554553-234E2F41</s>
                          </key>
                          <val>
                            <l refId="483" ln="1">
                              <be refId="484" clsId="StyleRule">
                                <be key="ruleCondition" refId="485" clsId="StyleRuleCondition">
                                  <b key="trailing">N</b>
                                  <b key="leading">N</b>
                                </be>
                                <s key="codStile">%0.00</s>
                              </be>
                            </l>
                          </val>
                          <key>
                            <s>46524D4F424A-45-564F49----524F5753-564F49-56414C554553-39</s>
                          </key>
                          <val>
                            <l refId="486" ln="1">
                              <be refId="487" clsId="StyleRule">
                                <be key="ruleCondition" refId="488" clsId="StyleRuleCondition">
                                  <b key="trailing">N</b>
                                  <b key="leading">N</b>
                                </be>
                                <s key="codStile">FST description blank</s>
                              </be>
                            </l>
                          </val>
                          <key>
                            <s>46524D4F424A-45-564F54----524F5753-564F54-56414C554553-34</s>
                          </key>
                          <val>
                            <l refId="489" ln="1">
                              <be refId="490" clsId="StyleRule">
                                <be key="ruleCondition" refId="491" clsId="StyleRuleCondition">
                                  <b key="trailing">N</b>
                                  <b key="leading">N</b>
                                </be>
                                <s key="codStile">Total_amounts</s>
                              </be>
                            </l>
                          </val>
                          <key>
                            <s>46524D4F424A-45-564F54----524F5753-564F54-56414C554553-35</s>
                          </key>
                          <val>
                            <l refId="492" ln="1">
                              <be refId="493" clsId="StyleRule">
                                <be key="ruleCondition" refId="494" clsId="StyleRuleCondition">
                                  <b key="trailing">N</b>
                                  <b key="leading">N</b>
                                </be>
                                <s key="codStile">%0.0</s>
                              </be>
                            </l>
                          </val>
                          <key>
                            <s>46524D4F424A-45-414444----524F5753-414444-48454144455253-32</s>
                          </key>
                          <val>
                            <l refId="495" ln="1">
                              <be refId="496" clsId="StyleRule">
                                <be key="ruleCondition" refId="497" clsId="StyleRuleCondition">
                                  <b key="trailing">N</b>
                                  <b key="leading">N</b>
                                </be>
                                <s key="codStile">Hyperlnk row header underlined bold</s>
                              </be>
                            </l>
                          </val>
                          <key>
                            <s>46524D4F424A-45-564F52----524F5753-564F52-48454144455253-32</s>
                          </key>
                          <val>
                            <l refId="498" ln="1">
                              <be refId="499" clsId="StyleRule">
                                <be key="ruleCondition" refId="500" clsId="StyleRuleCondition">
                                  <b key="trailing">N</b>
                                  <b key="leading">N</b>
                                </be>
                                <s key="codStile">Subtotal_head</s>
                              </be>
                            </l>
                          </val>
                          <key>
                            <s>46524D4F424A-45-414444----524F5753-414444-48454144455253-33</s>
                          </key>
                          <val>
                            <l refId="501" ln="1">
                              <be refId="502" clsId="StyleRule">
                                <be key="ruleCondition" refId="503" clsId="StyleRuleCondition">
                                  <b key="trailing">N</b>
                                  <b key="leading">N</b>
                                </be>
                                <s key="codStile">Hyperlnk row header underlined bold</s>
                              </be>
                            </l>
                          </val>
                          <key>
                            <s>46524D4F424A-45-564F54----524F5753-564F54-56414C554553-31</s>
                          </key>
                          <val>
                            <l refId="504" ln="1">
                              <be refId="505" clsId="StyleRule">
                                <be key="ruleCondition" refId="506" clsId="StyleRuleCondition">
                                  <b key="trailing">N</b>
                                  <b key="leading">N</b>
                                </be>
                                <s key="codStile">Subtotal_amounts</s>
                              </be>
                            </l>
                          </val>
                          <key>
                            <s>46524D4F424A-45-564F54----524F5753-564F54-56414C554553-32</s>
                          </key>
                          <val>
                            <l refId="507" ln="1">
                              <be refId="508" clsId="StyleRule">
                                <be key="ruleCondition" refId="509" clsId="StyleRuleCondition">
                                  <b key="trailing">N</b>
                                  <b key="leading">N</b>
                                </be>
                                <s key="codStile">Subtotal_amounts</s>
                              </be>
                            </l>
                          </val>
                          <key>
                            <s>46524D4F424A-45-564F54----524F5753-564F54-56414C554553-33</s>
                          </key>
                          <val>
                            <l refId="510" ln="1">
                              <be refId="511" clsId="StyleRule">
                                <be key="ruleCondition" refId="512" clsId="StyleRuleCondition">
                                  <b key="trailing">N</b>
                                  <b key="leading">N</b>
                                </be>
                                <s key="codStile">Total_Amounts_Margin</s>
                              </be>
                            </l>
                          </val>
                          <key>
                            <s>46524D4F424A-45-564F54----524F5753-564F54-48454144455253-34</s>
                          </key>
                          <val>
                            <l refId="513" ln="1">
                              <be refId="514" clsId="StyleRule">
                                <be key="ruleCondition" refId="515" clsId="StyleRuleCondition">
                                  <b key="trailing">N</b>
                                  <b key="leading">N</b>
                                </be>
                                <s key="codStile">Total_head</s>
                              </be>
                            </l>
                          </val>
                          <key>
                            <s>46524D4F424A-45-535542----524F5753-535542-48454144455253-234E2F41</s>
                          </key>
                          <val>
                            <l refId="516" ln="1">
                              <be refId="517" clsId="StyleRule">
                                <be key="ruleCondition" refId="518" clsId="StyleRuleCondition">
                                  <b key="trailing">N</b>
                                  <b key="leading">N</b>
                                </be>
                                <s key="codStile">Subtotal_head</s>
                              </be>
                            </l>
                          </val>
                          <key>
                            <s>46524D4F424A-45-564F52----524F5753-564F52-48454144455253-34</s>
                          </key>
                          <val>
                            <l refId="519" ln="1">
                              <be refId="520" clsId="StyleRule">
                                <be key="ruleCondition" refId="521" clsId="StyleRuleCondition">
                                  <b key="trailing">N</b>
                                  <b key="leading">N</b>
                                </be>
                                <s key="codStile">Total_head</s>
                              </be>
                            </l>
                          </val>
                          <key>
                            <s>46524D4F424A-45-564F54----524F5753-564F54-48454144455253-31</s>
                          </key>
                          <val>
                            <l refId="522" ln="1">
                              <be refId="523" clsId="StyleRule">
                                <be key="ruleCondition" refId="524" clsId="StyleRuleCondition">
                                  <b key="trailing">N</b>
                                  <b key="leading">N</b>
                                </be>
                                <s key="codStile">Subtotal_head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525" ln="1">
                              <be refId="526" clsId="StyleRule">
                                <be key="ruleCondition" refId="527" clsId="StyleRuleCondition">
                                  <b key="trailing">N</b>
                                  <b key="leading">N</b>
                                </be>
                                <s key="codStile">R_formula</s>
                              </be>
                            </l>
                          </val>
                          <key>
                            <s>46524D4F424A-45-414C4C----524F5753-234E2F41-414C4C-234E2F41</s>
                          </key>
                          <val>
                            <l refId="528" ln="1">
                              <be refId="529" clsId="StyleRule">
                                <be key="ruleCondition" refId="530" clsId="StyleRuleCondition">
                                  <b key="trailing">N</b>
                                  <b key="leading">N</b>
                                </be>
                                <s key="codStile">Amounts_Board</s>
                              </be>
                            </l>
                          </val>
                          <key>
                            <s>46524D4F424A-45-56414C----524F5753-56414C-56414C554553-234E2F41</s>
                          </key>
                          <val>
                            <l refId="531" ln="1">
                              <be refId="532" clsId="StyleRule">
                                <be key="ruleCondition" refId="533" clsId="StyleRuleCondition">
                                  <b key="trailing">N</b>
                                  <b key="leading">N</b>
                                </be>
                                <s key="codStile">R_Area_font</s>
                              </be>
                            </l>
                          </val>
                          <key>
                            <s>46524D4F424A-45-564F54----524F5753-564F54-48454144455253-32</s>
                          </key>
                          <val>
                            <l refId="534" ln="1">
                              <be refId="535" clsId="StyleRule">
                                <be key="ruleCondition" refId="536" clsId="StyleRuleCondition">
                                  <b key="trailing">N</b>
                                  <b key="leading">N</b>
                                </be>
                                <s key="codStile">Subtotal_head</s>
                              </be>
                            </l>
                          </val>
                          <key>
                            <s>46524D4F424A-45-414444----434F4C554D4E53-414444-48454144455253-234E2F41</s>
                          </key>
                          <val>
                            <l refId="537" ln="1">
                              <be refId="538" clsId="StyleRule">
                                <be key="ruleCondition" refId="539" clsId="StyleRuleCondition">
                                  <b key="trailing">N</b>
                                  <b key="leading">N</b>
                                </be>
                                <s key="codStile">Work new book placeholder header underlined</s>
                              </be>
                            </l>
                          </val>
                          <key>
                            <s>46524D4F424A-45-414444----524F5753-414444-48454144455253-234E2F41</s>
                          </key>
                          <val>
                            <l refId="540" ln="1">
                              <be refId="541" clsId="StyleRule">
                                <be key="ruleCondition" refId="542" clsId="StyleRuleCondition">
                                  <b key="trailing">N</b>
                                  <b key="leading">N</b>
                                </be>
                                <s key="codStile">Hyperlnk row header underlined bold</s>
                              </be>
                            </l>
                          </val>
                          <key>
                            <s>46524D4F424A-45-564F54----524F5753-564F54-48454144455253-33</s>
                          </key>
                          <val>
                            <l refId="543" ln="1">
                              <be refId="544" clsId="StyleRule">
                                <be key="ruleCondition" refId="545" clsId="StyleRuleCondition">
                                  <b key="trailing">N</b>
                                  <b key="leading">N</b>
                                </be>
                                <s key="codStile">Total_Headers_Margin</s>
                              </be>
                            </l>
                          </val>
                          <key>
                            <s>46524D4F424A-45-564F49----524F5753-564F49-48454144455253-234E2F41</s>
                          </key>
                          <val>
                            <l refId="546" ln="1">
                              <be refId="547" clsId="StyleRule">
                                <be key="ruleCondition" refId="548" clsId="StyleRuleCondition">
                                  <b key="trailing">N</b>
                                  <b key="leading">N</b>
                                </be>
                                <s key="codStile">Placeholder</s>
                              </be>
                            </l>
                          </val>
                          <key>
                            <s>46524D4F424A-45-504C48----434F4C554D4E53-504C48-48454144455253-234E2F41</s>
                          </key>
                          <val>
                            <l refId="549" ln="1">
                              <be refId="550" clsId="StyleRule">
                                <be key="ruleCondition" refId="551" clsId="StyleRuleCondition">
                                  <b key="trailing">N</b>
                                  <b key="leading">N</b>
                                </be>
                                <s key="codStile">Placeholder_column_blank</s>
                              </be>
                            </l>
                          </val>
                          <key>
                            <s>46524D4F424A-45-504C48----434F4C554D4E53-504C48-56414C554553-234E2F41</s>
                          </key>
                          <val>
                            <l refId="552" ln="1">
                              <be refId="553" clsId="StyleRule">
                                <be key="ruleCondition" refId="554" clsId="StyleRuleCondition">
                                  <b key="trailing">N</b>
                                  <b key="leading">N</b>
                                </be>
                                <s key="codStile">Placeholder_column_blank</s>
                              </be>
                            </l>
                          </val>
                          <key>
                            <s>46524D4F424A-45-504C48----524F5753-504C48-48454144455253-234E2F41</s>
                          </key>
                          <val>
                            <l refId="555" ln="1">
                              <be refId="556" clsId="StyleRule">
                                <be key="ruleCondition" refId="557" clsId="StyleRuleCondition">
                                  <b key="trailing">N</b>
                                  <b key="leading">N</b>
                                </be>
                                <s key="codStile">Placeholder_Header</s>
                              </be>
                            </l>
                          </val>
                          <key>
                            <s>46524D4F424A-45-504C48----524F5753-504C48-56414C554553-234E2F41</s>
                          </key>
                          <val>
                            <l refId="558" ln="1">
                              <be refId="559" clsId="StyleRule">
                                <be key="ruleCondition" refId="560" clsId="StyleRuleCondition">
                                  <b key="trailing">N</b>
                                  <b key="leading">N</b>
                                </be>
                                <s key="codStile">Blank_Row</s>
                              </be>
                            </l>
                          </val>
                          <key>
                            <s>46524D4F424A-45-564F52----524F5753-564F52-56414C554553-34</s>
                          </key>
                          <val>
                            <l refId="561" ln="1">
                              <be refId="562" clsId="StyleRule">
                                <be key="ruleCondition" refId="563" clsId="StyleRuleCondition">
                                  <b key="trailing">N</b>
                                  <b key="leading">N</b>
                                </be>
                                <s key="codStile">Total_amounts</s>
                              </be>
                            </l>
                          </val>
                          <key>
                            <s>46524D4F424A-45-564F52----524F5753-564F52-56414C554553-35</s>
                          </key>
                          <val>
                            <l refId="564" ln="1">
                              <be refId="565" clsId="StyleRule">
                                <be key="ruleCondition" refId="566" clsId="StyleRuleCondition">
                                  <b key="trailing">N</b>
                                  <b key="leading">N</b>
                                </be>
                                <s key="codStile">%0.0</s>
                              </be>
                            </l>
                          </val>
                          <key>
                            <s>46524D4F424A-45-564F52----524F5753-564F52-56414C554553-32</s>
                          </key>
                          <val>
                            <l refId="567" ln="1">
                              <be refId="568" clsId="StyleRule">
                                <be key="ruleCondition" refId="569" clsId="StyleRuleCondition">
                                  <b key="trailing">N</b>
                                  <b key="leading">N</b>
                                </be>
                                <s key="codStile">Subtotal_amounts</s>
                              </be>
                            </l>
                          </val>
                          <key>
                            <s>46524D4F424A-45-535542----524F5753-535542-56414C554553-234E2F41</s>
                          </key>
                          <val>
                            <l refId="570" ln="1">
                              <be refId="571" clsId="StyleRule">
                                <be key="ruleCondition" refId="572" clsId="StyleRuleCondition">
                                  <b key="trailing">N</b>
                                  <b key="leading">N</b>
                                </be>
                                <s key="codStile">Subtotal_amounts</s>
                              </be>
                            </l>
                          </val>
                        </m>
                        <d key="dateUpd">1374500845143</d>
                        <e key="tipoClient" refId="573" id="TipoClient">NET</e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74" ln="0" eid="MatrixCellLeafOids"/>
                  <m key="forcedEditModes" refId="575" keid="MatrixCellLeafOids" veid="SYS_STR"/>
                  <b key="UseTxlDeFormEditor">N</b>
                </be>
              </val>
              <key>
                <s>Matrix00</s>
              </key>
              <val>
                <be refId="576" clsId="MatrixPositionBlockVO">
                  <s key="positionID">Matrix00</s>
                  <be key="rows" refId="577" clsId="FilterNode">
                    <l key="dimensionOids" refId="578" ln="0" eid="DimensionOid"/>
                    <l key="AdHocParamDimensionOids" refId="579" ln="0" eid="DimensionOid"/>
                    <be key="data" refId="580" clsId="FilterNodeData">
                      <ref key="filterNode" refId="577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Rows</s>
                    <i key="index">0</i>
                    <l key="children" refId="581" ln="3" eid="Framework.com.tagetik.trees.INode,framework">
                      <be refId="582" clsId="FilterNode">
                        <l key="dimensionOids" refId="583" ln="7" eid="DimensionOid">
                          <cust clsId="DimensionOid">564F435F24-45-50594C5F353530---</cust>
                          <cust clsId="DimensionOid">564F435F24-45-53543030303230---</cust>
                          <cust clsId="DimensionOid">564F435F24-45-53543030303235---</cust>
                          <cust clsId="DimensionOid">564F435F24-45-53543030303330---</cust>
                          <cust clsId="DimensionOid">564F435F24-45-53543030303335---</cust>
                          <cust clsId="DimensionOid">564F435F24-45-53543030303430---</cust>
                          <cust clsId="DimensionOid">564F435F24-45-53543030303530---</cust>
                        </l>
                        <l key="AdHocParamDimensionOids" refId="584" ln="0" eid="DimensionOid"/>
                        <be key="data" refId="585" clsId="FilterNodeData">
                          <ref key="filterNode" refId="582"/>
                          <s key="dim">VOC_$</s>
                          <i key="segmentLevel">0</i>
                          <ref key="segment" refId="51"/>
                          <be key="dictionaryHeader" refId="586" clsId="MultiDesc">
                            <a key="desc" refId="587" ln="4" eid="SYS_STR">
                              <s>Available FTEs</s>
                              <s>Available FTEs</s>
                              <s/>
                              <nl/>
                            </a>
                          </be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58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589" ln="0" eid="Framework.com.tagetik.trees.INode,framework"/>
                        <ref key="parent" refId="577"/>
                      </be>
                      <be refId="590" clsId="FilterNode">
                        <l key="dimensionOids" refId="591" ln="0" eid="DimensionOid"/>
                        <l key="AdHocParamDimensionOids" refId="592" ln="0" eid="DimensionOid"/>
                        <be key="data" refId="593" clsId="FilterNodeData">
                          <ref key="filterNode" refId="590"/>
                          <s key="dim">VOC_$</s>
                          <i key="segmentLevel">0</i>
                          <ref key="segment" refId="41"/>
                          <be key="reportingFormula" refId="594" clsId="ReportingFormula">
                            <b key="serverFormula">N</b>
                            <b key="formulaRule">N</b>
                            <s key="formula">IF({4}=0,0,-INDIRECT(ADDRESS(ROW()-9,COLUMN()))/120+{2})</s>
                          </be>
                          <be key="HideRC" refId="595" clsId="HideRCBean">
                            <cust key="OtherOid" clsId="FilterOid">4</cust>
                            <l key="OtherOids" refId="596" ln="1" eid="Framework.com.tagetik.trees.Oid,framework">
                              <cust clsId="FilterOid">4</cust>
                            </l>
                            <e key="HideMode" refId="597" id="HideRCSEnum">LT</e>
                            <b key="ExcludeFormulas">N</b>
                            <b key="ExcludeTextCells">N</b>
                            <b key="ExcludeHeaders">S</b>
                            <b key="CheckAllMatrices">N</b>
                          </be>
                          <be key="dictionaryHeader" refId="598" clsId="MultiDesc">
                            <a key="desc" refId="599" ln="4" eid="SYS_STR">
                              <s>FTE Margin</s>
                              <s>FTE Margin</s>
                              <s>FTE Margin</s>
                              <nl/>
                            </a>
                          </be>
                          <b key="placeHolder">S</b>
                          <ref key="weight" refId="42"/>
                          <ref key="change" refId="43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60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e key="expControlloProspetto" refId="601" clsId="ExpControlloProspetto">
                            <s key="desc0">More Employees are Needed!</s>
                            <s key="desc1">More Employees are Needed!</s>
                            <s key="desc2"/>
                            <be key="expression" refId="602" clsId="CompositeControlExpression">
                              <be key="first" refId="603" clsId="SimpleControlExpression">
                                <s key="operator">&gt;=</s>
                                <u key="valueFrom">0</u>
                                <e key="dataType" refId="604" id="DataType">TYPE_N</e>
                              </be>
                              <be key="second" refId="605" clsId="SimpleControlExpression">
                                <s key="operator">Vuoto</s>
                                <ref key="dataType" refId="44"/>
                              </be>
                              <e key="operator" refId="606" id="ControlExpressionBooleanOperator">OR</e>
                            </be>
                            <b key="save">S</b>
                            <b key="exit">S</b>
                            <b key="blocker">N</b>
                            <e key="type" refId="607" id="RowColumnControlExpType">A</e>
                          </be>
                          <b key="breakLevelSubtotal">N</b>
                        </be>
                        <cust key="id" clsId="FilterOid">3</cust>
                        <s key="cod"/>
                        <s key="desc"/>
                        <i key="index">1</i>
                        <l key="children" refId="608" ln="0" eid="Framework.com.tagetik.trees.INode,framework"/>
                        <ref key="parent" refId="577"/>
                      </be>
                      <be refId="609" clsId="FilterNode">
                        <l key="dimensionOids" refId="610" ln="0" eid="DimensionOid"/>
                        <l key="AdHocParamDimensionOids" refId="611" ln="0" eid="DimensionOid"/>
                        <be key="data" refId="612" clsId="FilterNodeData">
                          <ref key="filterNode" refId="609"/>
                          <s key="dim">VOC_$</s>
                          <i key="segmentLevel">0</i>
                          <ref key="segment" refId="41"/>
                          <be key="reportingFormula" refId="613" clsId="ReportingFormula">
                            <b key="serverFormula">S</b>
                            <b key="formulaRule">N</b>
                            <s key="formula">IF($Entity(HIERARCHY("10")).code ="C00",1,0)</s>
                          </be>
                          <be key="HideRC" refId="614" clsId="HideRCBean">
                            <e key="HideMode" refId="615" id="HideRCSEnum">HZ</e>
                            <b key="ExcludeFormulas">N</b>
                            <b key="ExcludeTextCells">N</b>
                            <b key="ExcludeHeaders">S</b>
                            <b key="CheckAllMatrices">N</b>
                          </be>
                          <b key="placeHolder">S</b>
                          <ref key="weight" refId="42"/>
                          <ref key="change" refId="43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577"/>
                      </be>
                    </l>
                  </be>
                  <be key="columns" refId="616" clsId="FilterNode">
                    <l key="dimensionOids" refId="617" ln="0" eid="DimensionOid"/>
                    <l key="AdHocParamDimensionOids" refId="618" ln="0" eid="DimensionOid"/>
                    <be key="data" refId="619" clsId="FilterNodeData">
                      <ref key="filterNode" refId="616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Columns</s>
                    <i key="index">0</i>
                    <l key="children" refId="620" ln="3" eid="Framework.com.tagetik.trees.INode,framework">
                      <be refId="621" clsId="FilterNode">
                        <l key="dimensionOids" refId="622" ln="1" eid="DimensionOid">
                          <cust clsId="DimensionOid">534345-45-5350424447--50-</cust>
                        </l>
                        <l key="AdHocParamDimensionOids" refId="623" ln="0" eid="DimensionOid"/>
                        <be key="data" refId="624" clsId="FilterNodeData">
                          <ref key="filterNode" refId="621"/>
                          <s key="dim">SCE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625" ln="1" eid="ScenarioModifierValue">
                            <ref refId="69"/>
                          </l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626" ln="1" eid="Framework.com.tagetik.trees.INode,framework">
                          <be refId="627" clsId="FilterNode">
                            <l key="dimensionOids" refId="628" ln="1" eid="DimensionOid">
                              <cust clsId="DimensionOid">504552-45-3132---</cust>
                            </l>
                            <l key="AdHocParamDimensionOids" refId="629" ln="0" eid="DimensionOid"/>
                            <be key="data" refId="630" clsId="FilterNodeData">
                              <ref key="filterNode" refId="627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3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4</cust>
                            <s key="cod"/>
                            <s key="desc"/>
                            <i key="index">0</i>
                            <l key="children" refId="632" ln="0" eid="Framework.com.tagetik.trees.INode,framework"/>
                            <ref key="parent" refId="621"/>
                          </be>
                        </l>
                        <ref key="parent" refId="616"/>
                      </be>
                      <be refId="633" clsId="FilterNode">
                        <l key="dimensionOids" refId="634" ln="0" eid="DimensionOid"/>
                        <l key="AdHocParamDimensionOids" refId="635" ln="0" eid="DimensionOid"/>
                        <be key="data" refId="636" clsId="FilterNodeData">
                          <ref key="filterNode" refId="633"/>
                          <s key="dim">SCE</s>
                          <i key="segmentLevel">0</i>
                          <ref key="segment" refId="41"/>
                          <b key="placeHolder">S</b>
                          <ref key="weight" refId="42"/>
                          <ref key="change" refId="43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63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29</cust>
                        <s key="cod"/>
                        <s key="desc"/>
                        <i key="index">1</i>
                        <l key="children" refId="638" ln="1" eid="Framework.com.tagetik.trees.INode,framework">
                          <be refId="639" clsId="FilterNode">
                            <l key="dimensionOids" refId="640" ln="0" eid="DimensionOid"/>
                            <l key="AdHocParamDimensionOids" refId="641" ln="0" eid="DimensionOid"/>
                            <be key="data" refId="642" clsId="FilterNodeData">
                              <ref key="filterNode" refId="639"/>
                              <s key="dim">PER</s>
                              <i key="segmentLevel">0</i>
                              <ref key="segment" refId="41"/>
                              <b key="placeHolder">S</b>
                              <ref key="weight" refId="42"/>
                              <ref key="change" refId="43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4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30</cust>
                            <s key="cod"/>
                            <s key="desc"/>
                            <i key="index">0</i>
                            <l key="children" refId="644" ln="0" eid="Framework.com.tagetik.trees.INode,framework"/>
                            <ref key="parent" refId="633"/>
                          </be>
                        </l>
                        <ref key="parent" refId="616"/>
                      </be>
                      <be refId="645" clsId="FilterNode">
                        <l key="dimensionOids" refId="646" ln="1" eid="DimensionOid">
                          <cust clsId="DimensionOid">534345-45-5350424447--50-</cust>
                        </l>
                        <l key="AdHocParamDimensionOids" refId="647" ln="0" eid="DimensionOid"/>
                        <be key="data" refId="648" clsId="FilterNodeData">
                          <ref key="filterNode" refId="645"/>
                          <s key="dim">SCE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6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3</cust>
                        <s key="cod"/>
                        <s key="desc"/>
                        <i key="index">2</i>
                        <l key="children" refId="650" ln="12" eid="Framework.com.tagetik.trees.INode,framework">
                          <be refId="651" clsId="FilterNode">
                            <l key="dimensionOids" refId="652" ln="1" eid="DimensionOid">
                              <cust clsId="DimensionOid">504552-45-3031---</cust>
                            </l>
                            <l key="AdHocParamDimensionOids" refId="653" ln="0" eid="DimensionOid"/>
                            <be key="data" refId="654" clsId="FilterNodeData">
                              <ref key="filterNode" refId="651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5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17</cust>
                            <s key="cod"/>
                            <s key="desc"/>
                            <i key="index">0</i>
                            <l key="children" refId="656" ln="0" eid="Framework.com.tagetik.trees.INode,framework"/>
                            <ref key="parent" refId="645"/>
                          </be>
                          <be refId="657" clsId="FilterNode">
                            <l key="dimensionOids" refId="658" ln="1" eid="DimensionOid">
                              <cust clsId="DimensionOid">504552-45-3032---</cust>
                            </l>
                            <l key="AdHocParamDimensionOids" refId="659" ln="0" eid="DimensionOid"/>
                            <be key="data" refId="660" clsId="FilterNodeData">
                              <ref key="filterNode" refId="657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6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18</cust>
                            <s key="cod"/>
                            <s key="desc"/>
                            <i key="index">1</i>
                            <l key="children" refId="662" ln="0" eid="Framework.com.tagetik.trees.INode,framework"/>
                            <ref key="parent" refId="645"/>
                          </be>
                          <be refId="663" clsId="FilterNode">
                            <l key="dimensionOids" refId="664" ln="1" eid="DimensionOid">
                              <cust clsId="DimensionOid">504552-45-3033---</cust>
                            </l>
                            <l key="AdHocParamDimensionOids" refId="665" ln="0" eid="DimensionOid"/>
                            <be key="data" refId="666" clsId="FilterNodeData">
                              <ref key="filterNode" refId="663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6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19</cust>
                            <s key="cod"/>
                            <s key="desc"/>
                            <i key="index">2</i>
                            <l key="children" refId="668" ln="0" eid="Framework.com.tagetik.trees.INode,framework"/>
                            <ref key="parent" refId="645"/>
                          </be>
                          <be refId="669" clsId="FilterNode">
                            <l key="dimensionOids" refId="670" ln="1" eid="DimensionOid">
                              <cust clsId="DimensionOid">504552-45-3034---</cust>
                            </l>
                            <l key="AdHocParamDimensionOids" refId="671" ln="0" eid="DimensionOid"/>
                            <be key="data" refId="672" clsId="FilterNodeData">
                              <ref key="filterNode" refId="669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7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20</cust>
                            <s key="cod"/>
                            <s key="desc"/>
                            <i key="index">3</i>
                            <l key="children" refId="674" ln="0" eid="Framework.com.tagetik.trees.INode,framework"/>
                            <ref key="parent" refId="645"/>
                          </be>
                          <be refId="675" clsId="FilterNode">
                            <l key="dimensionOids" refId="676" ln="1" eid="DimensionOid">
                              <cust clsId="DimensionOid">504552-45-3035---</cust>
                            </l>
                            <l key="AdHocParamDimensionOids" refId="677" ln="0" eid="DimensionOid"/>
                            <be key="data" refId="678" clsId="FilterNodeData">
                              <ref key="filterNode" refId="675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79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21</cust>
                            <s key="cod"/>
                            <s key="desc"/>
                            <i key="index">4</i>
                            <l key="children" refId="680" ln="0" eid="Framework.com.tagetik.trees.INode,framework"/>
                            <ref key="parent" refId="645"/>
                          </be>
                          <be refId="681" clsId="FilterNode">
                            <l key="dimensionOids" refId="682" ln="1" eid="DimensionOid">
                              <cust clsId="DimensionOid">504552-45-3036---</cust>
                            </l>
                            <l key="AdHocParamDimensionOids" refId="683" ln="0" eid="DimensionOid"/>
                            <be key="data" refId="684" clsId="FilterNodeData">
                              <ref key="filterNode" refId="681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8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22</cust>
                            <s key="cod"/>
                            <s key="desc"/>
                            <i key="index">5</i>
                            <l key="children" refId="686" ln="0" eid="Framework.com.tagetik.trees.INode,framework"/>
                            <ref key="parent" refId="645"/>
                          </be>
                          <be refId="687" clsId="FilterNode">
                            <l key="dimensionOids" refId="688" ln="1" eid="DimensionOid">
                              <cust clsId="DimensionOid">504552-45-3037---</cust>
                            </l>
                            <l key="AdHocParamDimensionOids" refId="689" ln="0" eid="DimensionOid"/>
                            <be key="data" refId="690" clsId="FilterNodeData">
                              <ref key="filterNode" refId="687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9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23</cust>
                            <s key="cod"/>
                            <s key="desc"/>
                            <i key="index">6</i>
                            <l key="children" refId="692" ln="0" eid="Framework.com.tagetik.trees.INode,framework"/>
                            <ref key="parent" refId="645"/>
                          </be>
                          <be refId="693" clsId="FilterNode">
                            <l key="dimensionOids" refId="694" ln="1" eid="DimensionOid">
                              <cust clsId="DimensionOid">504552-45-3038---</cust>
                            </l>
                            <l key="AdHocParamDimensionOids" refId="695" ln="0" eid="DimensionOid"/>
                            <be key="data" refId="696" clsId="FilterNodeData">
                              <ref key="filterNode" refId="693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69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24</cust>
                            <s key="cod"/>
                            <s key="desc"/>
                            <i key="index">7</i>
                            <l key="children" refId="698" ln="0" eid="Framework.com.tagetik.trees.INode,framework"/>
                            <ref key="parent" refId="645"/>
                          </be>
                          <be refId="699" clsId="FilterNode">
                            <l key="dimensionOids" refId="700" ln="1" eid="DimensionOid">
                              <cust clsId="DimensionOid">504552-45-3039---</cust>
                            </l>
                            <l key="AdHocParamDimensionOids" refId="701" ln="0" eid="DimensionOid"/>
                            <be key="data" refId="702" clsId="FilterNodeData">
                              <ref key="filterNode" refId="699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703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25</cust>
                            <s key="cod"/>
                            <s key="desc"/>
                            <i key="index">8</i>
                            <l key="children" refId="704" ln="0" eid="Framework.com.tagetik.trees.INode,framework"/>
                            <ref key="parent" refId="645"/>
                          </be>
                          <be refId="705" clsId="FilterNode">
                            <l key="dimensionOids" refId="706" ln="1" eid="DimensionOid">
                              <cust clsId="DimensionOid">504552-45-3130---</cust>
                            </l>
                            <l key="AdHocParamDimensionOids" refId="707" ln="0" eid="DimensionOid"/>
                            <be key="data" refId="708" clsId="FilterNodeData">
                              <ref key="filterNode" refId="705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709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26</cust>
                            <s key="cod"/>
                            <s key="desc"/>
                            <i key="index">9</i>
                            <l key="children" refId="710" ln="0" eid="Framework.com.tagetik.trees.INode,framework"/>
                            <ref key="parent" refId="645"/>
                          </be>
                          <be refId="711" clsId="FilterNode">
                            <l key="dimensionOids" refId="712" ln="1" eid="DimensionOid">
                              <cust clsId="DimensionOid">504552-45-3131---</cust>
                            </l>
                            <l key="AdHocParamDimensionOids" refId="713" ln="0" eid="DimensionOid"/>
                            <be key="data" refId="714" clsId="FilterNodeData">
                              <ref key="filterNode" refId="711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715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27</cust>
                            <s key="cod"/>
                            <s key="desc"/>
                            <i key="index">10</i>
                            <l key="children" refId="716" ln="0" eid="Framework.com.tagetik.trees.INode,framework"/>
                            <ref key="parent" refId="645"/>
                          </be>
                          <be refId="717" clsId="FilterNode">
                            <l key="dimensionOids" refId="718" ln="1" eid="DimensionOid">
                              <cust clsId="DimensionOid">504552-45-3132---</cust>
                            </l>
                            <l key="AdHocParamDimensionOids" refId="719" ln="0" eid="DimensionOid"/>
                            <be key="data" refId="720" clsId="FilterNodeData">
                              <ref key="filterNode" refId="717"/>
                              <s key="dim">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72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5</cust>
                            <s key="cod"/>
                            <s key="desc"/>
                            <i key="index">11</i>
                            <l key="children" refId="722" ln="0" eid="Framework.com.tagetik.trees.INode,framework"/>
                            <ref key="parent" refId="645"/>
                          </be>
                        </l>
                        <ref key="parent" refId="616"/>
                      </be>
                    </l>
                  </be>
                  <be key="matrixFilters" refId="723" clsId="FilterNode">
                    <l key="dimensionOids" refId="724" ln="0" eid="DimensionOid"/>
                    <l key="AdHocParamDimensionOids" refId="725" ln="0" eid="DimensionOid"/>
                    <be key="data" refId="726" clsId="FilterNodeData">
                      <ref key="filterNode" refId="723"/>
                      <i key="segmentLevel">0</i>
                      <ref key="segment" refId="41"/>
                      <b key="placeHolder">N</b>
                      <ref key="weight" refId="42"/>
                      <ref key="change" refId="43"/>
                      <ref key="dataType" refId="44"/>
                      <b key="prevailingDataType">N</b>
                      <ref key="editability" refId="45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</be>
                    <cust key="id" clsId="FilterOid">1</cust>
                    <s key="desc">Matrix</s>
                    <i key="index">0</i>
                    <l key="children" refId="727" ln="1" eid="Framework.com.tagetik.trees.INode,framework">
                      <be refId="728" clsId="FilterNode">
                        <l key="dimensionOids" refId="729" ln="2" eid="DimensionOid">
                          <cust clsId="DimensionOid">434154-45-24414D4F554E54---</cust>
                          <cust clsId="DimensionOid">434154-45-5050415F303130---</cust>
                        </l>
                        <l key="AdHocParamDimensionOids" refId="730" ln="0" eid="DimensionOid"/>
                        <be key="data" refId="731" clsId="FilterNodeData">
                          <ref key="filterNode" refId="728"/>
                          <s key="dim">CAT</s>
                          <i key="segmentLevel">0</i>
                          <ref key="segment" refId="51"/>
                          <b key="placeHolder">N</b>
                          <ref key="weight" refId="42"/>
                          <ref key="change" refId="55"/>
                          <ref key="dataType" refId="44"/>
                          <b key="prevailingDataType">N</b>
                          <ref key="editability" refId="45"/>
                          <b key="signChange">N</b>
                          <b key="nativeSignChange">N</b>
                          <l key="nav" refId="73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</be>
                        <cust key="id" clsId="FilterOid">2</cust>
                        <s key="cod"/>
                        <s key="desc"/>
                        <i key="index">0</i>
                        <l key="children" refId="733" ln="1" eid="Framework.com.tagetik.trees.INode,framework">
                          <be refId="734" clsId="FilterNode">
                            <l key="dimensionOids" refId="735" ln="1" eid="DimensionOid">
                              <cust clsId="DimensionOid">4C554E504552-45-4C554E5F31---</cust>
                            </l>
                            <l key="AdHocParamDimensionOids" refId="736" ln="0" eid="DimensionOid"/>
                            <be key="data" refId="737" clsId="FilterNodeData">
                              <ref key="filterNode" refId="734"/>
                              <s key="dim">LUNPER</s>
                              <i key="segmentLevel">0</i>
                              <ref key="segment" refId="51"/>
                              <b key="placeHolder">N</b>
                              <ref key="weight" refId="42"/>
                              <ref key="change" refId="55"/>
                              <ref key="dataType" refId="44"/>
                              <b key="prevailingDataType">N</b>
                              <ref key="editability" refId="45"/>
                              <b key="signChange">N</b>
                              <b key="nativeSignChange">N</b>
                              <l key="nav" refId="738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739" ln="1" eid="Framework.com.tagetik.trees.INode,framework">
                              <be refId="740" clsId="FilterNode">
                                <l key="dimensionOids" refId="741" ln="1" eid="DimensionOid">
                                  <cust clsId="DimensionOid">544950-45-5449505F4F---</cust>
                                </l>
                                <l key="AdHocParamDimensionOids" refId="742" ln="0" eid="DimensionOid"/>
                                <be key="data" refId="743" clsId="FilterNodeData">
                                  <ref key="filterNode" refId="740"/>
                                  <s key="dim">TIP</s>
                                  <i key="segmentLevel">0</i>
                                  <ref key="segment" refId="51"/>
                                  <b key="placeHolder">N</b>
                                  <ref key="weight" refId="42"/>
                                  <ref key="change" refId="55"/>
                                  <ref key="dataType" refId="44"/>
                                  <b key="prevailingDataType">N</b>
                                  <ref key="editability" refId="45"/>
                                  <b key="signChange">N</b>
                                  <b key="nativeSignChange">N</b>
                                  <l key="nav" refId="74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745" ln="1" eid="Framework.com.tagetik.trees.INode,framework">
                                  <be refId="746" clsId="FilterNode">
                                    <l key="dimensionOids" refId="747" ln="3" eid="DimensionOid">
                                      <cust clsId="DimensionOid">4445535431-45-433032---</cust>
                                      <cust clsId="DimensionOid">4445535431-45-433033---</cust>
                                      <cust clsId="DimensionOid">4445535431-45-433034---</cust>
                                    </l>
                                    <l key="AdHocParamDimensionOids" refId="748" ln="0" eid="DimensionOid"/>
                                    <be key="data" refId="749" clsId="FilterNodeData">
                                      <ref key="filterNode" refId="746"/>
                                      <s key="dim">DEST1</s>
                                      <i key="segmentLevel">0</i>
                                      <ref key="segment" refId="51"/>
                                      <b key="placeHolder">N</b>
                                      <ref key="weight" refId="42"/>
                                      <ref key="change" refId="55"/>
                                      <ref key="dataType" refId="44"/>
                                      <b key="prevailingDataType">N</b>
                                      <ref key="editability" refId="45"/>
                                      <b key="signChange">N</b>
                                      <b key="nativeSignChange">N</b>
                                      <l key="nav" refId="750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751" ln="0" eid="Framework.com.tagetik.trees.INode,framework"/>
                                    <ref key="parent" refId="740"/>
                                  </be>
                                </l>
                                <ref key="parent" refId="734"/>
                              </be>
                            </l>
                            <ref key="parent" refId="728"/>
                          </be>
                        </l>
                        <ref key="parent" refId="723"/>
                      </be>
                    </l>
                  </be>
                  <be key="rowHeaders" refId="752" clsId="ReportingHeaders">
                    <m key="headers" refId="753" keid="SYS_PR_I" veid="System.Collections.IList">
                      <key>
                        <i>-1</i>
                      </key>
                      <val>
                        <l refId="754" ln="1">
                          <s>$Account(HIERARCHY("$")).desc</s>
                        </l>
                      </val>
                    </m>
                    <m key="headersDims" refId="755" keid="SYS_PR_I" veid="SYS_STR">
                      <key>
                        <i>-1</i>
                      </key>
                      <val>
                        <s>VOC_$</s>
                      </val>
                    </m>
                  </be>
                  <be key="columnHeaders" refId="756" clsId="ReportingHeaders">
                    <m key="headers" refId="757" keid="SYS_PR_I" veid="System.Collections.IList">
                      <key>
                        <i>-2</i>
                      </key>
                      <val>
                        <l refId="758" ln="1">
                          <s>$Scenario.desc</s>
                        </l>
                      </val>
                      <key>
                        <i>-1</i>
                      </key>
                      <val>
                        <l refId="759" ln="1">
                          <s>$Period.desc</s>
                        </l>
                      </val>
                    </m>
                    <m key="headersDims" refId="760" keid="SYS_PR_I" veid="SYS_STR">
                      <key>
                        <i>-2</i>
                      </key>
                      <val>
                        <s>SCE</s>
                      </val>
                      <key>
                        <i>-1</i>
                      </key>
                      <val>
                        <s>PER</s>
                      </val>
                    </m>
                  </be>
                  <e key="styleType" refId="761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247"/>
                  <i key="maxCols">0</i>
                  <ref key="colsExpansionMode" refId="247"/>
                  <ref key="columnsAutofitMode" refId="248"/>
                  <b key="useForcedBoundDims">N</b>
                  <ref key="disableHints" refId="249"/>
                  <ref key="tipoAllineamentoLordiIC" refId="250"/>
                  <set key="forcedDimensions" refId="762" ln="0" eid="SYS_STR"/>
                  <b key="bindOriginalAmountOnSave">N</b>
                  <b key="showLink">N</b>
                  <i key="index">2</i>
                  <b key="excludeValuatingSheetsWithZeroValues">N</b>
                  <m key="addictionalStyleSheets" refId="76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64" ln="1" eid="MatrixCellLeafOids">
                    <be refId="765" clsId="MatrixCellLeafOids">
                      <cust key="row" clsId="FilterOid">3</cust>
                      <cust key="col" clsId="FilterOid">4</cust>
                    </be>
                  </set>
                  <m key="forcedEditModes" refId="766" keid="MatrixCellLeafOids" veid="SYS_STR"/>
                  <b key="UseTxlDeFormEditor">N</b>
                </be>
              </val>
            </m>
            <m key="cellFields" refId="767" keid="SYS_STR" veid="CodeCellField">
              <key>
                <s>$E$3</s>
              </key>
              <val>
                <be refId="768" clsId="CodeCellField">
                  <s key="code">$E$3</s>
                  <s key="cellField">report.desc</s>
                </be>
              </val>
              <key>
                <s>$E$8</s>
              </key>
              <val>
                <be refId="769" clsId="CodeCellField">
                  <s key="code">$E$8</s>
                  <s key="cellField">$Scenario.desc</s>
                </be>
              </val>
            </m>
            <m key="dictionary" refId="770" keid="SYS_STR" veid="CodeMultiDescVO"/>
            <m key="controlExpressions" refId="771" keid="SYS_STR" veid="CodedExpControlloProspetto"/>
            <m key="inlineParameters" refId="772" keid="SYS_STR" veid="CodedInlineParameter">
              <key>
                <s>InlineParameter01</s>
              </key>
              <val>
                <be refId="773" clsId="CodedInlineParameter">
                  <s key="code">InlineParameter01</s>
                  <be key="inlineParameter" refId="774" clsId="InlineParameter">
                    <cust key="oid" clsId="DimensionOid">44455354325F3031-45-2444455354325F30315F50--50-</cust>
                  </be>
                </be>
              </val>
              <key>
                <s>InlineParameter00</s>
              </key>
              <val>
                <be refId="775" clsId="CodedInlineParameter">
                  <s key="code">InlineParameter00</s>
                  <be key="inlineParameter" refId="776" clsId="InlineParameter">
                    <cust key="oid" clsId="DimensionOid">415A495F3130-45-24415A495F31305F50--50-</cust>
                  </be>
                </be>
              </val>
            </m>
            <m key="queries" refId="777" keid="SYS_STR" veid="Reporting.com.tagetik.query.IUserDefinedQueryVO,Reporting"/>
            <be key="sheets" refId="778" clsId="FilterNode">
              <l key="dimensionOids" refId="779" ln="0" eid="DimensionOid"/>
              <l key="AdHocParamDimensionOids" refId="780" ln="0" eid="DimensionOid"/>
              <be key="data" refId="781" clsId="FilterNodeData">
                <ref key="filterNode" refId="778"/>
                <i key="segmentLevel">0</i>
                <ref key="segment" refId="51"/>
                <b key="placeHolder">N</b>
                <ref key="weight" refId="42"/>
                <ref key="change" refId="55"/>
                <ref key="dataType" refId="44"/>
                <b key="prevailingDataType">N</b>
                <ref key="editability" refId="45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</be>
              <cust key="id" clsId="FilterOid">1</cust>
              <s key="cod">ROOT</s>
              <s key="desc">Tab filters</s>
              <i key="index">0</i>
            </be>
            <m key="launchers" refId="782" keid="SYS_STR" veid="ElaborationsLauncher">
              <key>
                <s>QUANTITY</s>
              </key>
              <val>
                <be refId="783" clsId="ElaborationsLauncher">
                  <s key="executionName">QUANTITY</s>
                  <be key="descriptions" refId="784" clsId="MultiDesc">
                    <a key="desc" refId="785" ln="4" eid="SYS_STR">
                      <s>QUANTITY &amp; COGS</s>
                      <s>QUANTITY &amp; COGS</s>
                      <s>QUANTITY &amp; COGS</s>
                      <nl/>
                    </a>
                  </be>
                  <a key="elaborations" refId="786" ln="2" eid="SYS_STR">
                    <s>435253-45-43414C43554C415445445F4143434F554E54535F454C4142---</s>
                    <s>435253-4E-43414C43554C415445445F4143434F554E5453---</s>
                  </a>
                  <m key="parameterValues" refId="787" keid="SYS_STR" veid="Reporting.com.tagetik.report.parametersValue.IParameterValue,Reporting">
                    <key>
                      <s>scenarioPeriodoConsolidamentoList.scenarioConsolidamento</s>
                    </key>
                    <val>
                      <be refId="788" clsId="StringParameterValue">
                        <e key="ParamSetType" refId="789" id="ParamSetType">AUTOMATICO</e>
                        <s key="Value">${AUTO}</s>
                      </be>
                    </val>
                    <key>
                      <s>scenarioPeriodoOriginarioList.scenarioOriginario</s>
                    </key>
                    <val>
                      <be refId="790" clsId="StringParameterValue">
                        <ref key="ParamSetType" refId="789"/>
                        <s key="Value">${AUTO}</s>
                      </be>
                    </val>
                    <key>
                      <s>scenarioPeriodoConsolidamentoList.periodo</s>
                    </key>
                    <val>
                      <be refId="791" clsId="StringParameterValue">
                        <ref key="ParamSetType" refId="789"/>
                        <s key="Value">${AUTO}</s>
                      </be>
                    </val>
                    <key>
                      <s>dest1List</s>
                    </key>
                    <val>
                      <be refId="792" clsId="FilterNodeParameterValue">
                        <e key="ParamSetType" refId="793" id="ParamSetType">ESPLICITA_SELEZIONA</e>
                        <be key="Value" refId="794" clsId="FilterNode">
                          <l key="dimensionOids" refId="795" ln="1" eid="DimensionOid">
                            <cust clsId="DimensionOid">4445535431-45-473031---</cust>
                          </l>
                          <l key="AdHocParamDimensionOids" refId="796" ln="0" eid="DimensionOid"/>
                          <be key="data" refId="797" clsId="FilterNodeData">
                            <ref key="filterNode" refId="794"/>
                            <s key="dim">DEST1</s>
                            <i key="segmentLevel">0</i>
                            <ref key="segment" refId="51"/>
                            <b key="placeHolder">N</b>
                            <ref key="weight" refId="42"/>
                            <ref key="change" refId="55"/>
                            <ref key="dataType" refId="44"/>
                            <b key="prevailingDataType">N</b>
                            <ref key="editability" refId="45"/>
                            <b key="signChange">N</b>
                            <b key="nativeSignChange">N</b>
                            <l key="nav" refId="798" ln="0" eid="ScenarioModifierValue"/>
                            <i key="sco">0</i>
                            <b key="applyFiltersForForcedScenarioPeriodoMap">N</b>
                            <b key="lineSplit">N</b>
                            <s key="adHocStyleSheetId"/>
                            <b key="addRCRow">N</b>
                            <b key="complementary">N</b>
                            <b key="breakLevelSubtotal">N</b>
                          </be>
                          <cust key="id" clsId="FilterOid">2</cust>
                          <s key="cod"/>
                          <s key="desc"/>
                          <i key="index">0</i>
                          <l key="children" refId="799" ln="0" eid="Framework.com.tagetik.trees.INode,framework"/>
                        </be>
                      </be>
                    </val>
                    <key>
                      <s>aziendaList</s>
                    </key>
                    <val>
                      <be refId="800" clsId="StringParameterValue">
                        <ref key="ParamSetType" refId="789"/>
                        <s key="Value">${AUTO}</s>
                      </be>
                    </val>
                    <key>
                      <s>aziendaElegerConsolidatoreList</s>
                    </key>
                    <val>
                      <be refId="801" clsId="FilterNodeParameterValue">
                        <ref key="ParamSetType" refId="793"/>
                      </be>
                    </val>
                    <key>
                      <s>tipoDatoFormula</s>
                    </key>
                    <val>
                      <be refId="802" clsId="StringParameterValue">
                        <ref key="ParamSetType" refId="793"/>
                        <s key="Value">SA</s>
                      </be>
                    </val>
                    <key>
                      <s>scenarioPeriodoOriginarioList.periodo</s>
                    </key>
                    <val>
                      <be refId="803" clsId="FilterNodeParameterValue">
                        <ref key="ParamSetType" refId="793"/>
                        <be key="Value" refId="804" clsId="FilterNode">
                          <l key="dimensionOids" refId="805" ln="12" eid="DimensionOid">
                            <cust clsId="DimensionOid">504552-45-3038---</cust>
                            <cust clsId="DimensionOid">504552-45-3130---</cust>
                            <cust clsId="DimensionOid">504552-45-3035---</cust>
                            <cust clsId="DimensionOid">504552-45-3131---</cust>
                            <cust clsId="DimensionOid">504552-45-3031---</cust>
                            <cust clsId="DimensionOid">504552-45-3034---</cust>
                            <cust clsId="DimensionOid">504552-45-3033---</cust>
                            <cust clsId="DimensionOid">504552-45-3039---</cust>
                            <cust clsId="DimensionOid">504552-45-3037---</cust>
                            <cust clsId="DimensionOid">504552-45-3132---</cust>
                            <cust clsId="DimensionOid">504552-45-3036---</cust>
                            <cust clsId="DimensionOid">504552-45-3032---</cust>
                          </l>
                          <l key="AdHocParamDimensionOids" refId="806" ln="0" eid="DimensionOid"/>
                          <be key="data" refId="807" clsId="FilterNodeData">
                            <ref key="filterNode" refId="804"/>
                            <s key="dim">PER</s>
                            <i key="segmentLevel">0</i>
                            <ref key="segment" refId="51"/>
                            <b key="placeHolder">N</b>
                            <ref key="weight" refId="42"/>
                            <ref key="change" refId="55"/>
                            <ref key="dataType" refId="44"/>
                            <b key="prevailingDataType">N</b>
                            <ref key="editability" refId="45"/>
                            <b key="signChange">N</b>
                            <b key="nativeSignChange">N</b>
                            <l key="nav" refId="808" ln="0" eid="ScenarioModifierValue"/>
                            <i key="sco">0</i>
                            <b key="applyFiltersForForcedScenarioPeriodoMap">N</b>
                            <b key="lineSplit">N</b>
                            <s key="adHocStyleSheetId"/>
                            <b key="addRCRow">N</b>
                            <b key="complementary">N</b>
                            <b key="breakLevelSubtotal">N</b>
                          </be>
                          <cust key="id" clsId="FilterOid">5</cust>
                          <s key="cod"/>
                          <s key="desc"/>
                          <i key="index">0</i>
                          <l key="children" refId="809" ln="0" eid="Framework.com.tagetik.trees.INode,framework"/>
                        </be>
                      </be>
                    </val>
                    <key>
                      <s>tipoFormula</s>
                    </key>
                    <val>
                      <be refId="810" clsId="StringParameterValue">
                        <ref key="ParamSetType" refId="793"/>
                        <s key="Value">TUTTE</s>
                      </be>
                    </val>
                    <key>
                      <s>dest2List</s>
                    </key>
                    <val>
                      <be refId="811" clsId="StringParameterValue">
                        <ref key="ParamSetType" refId="789"/>
                        <s key="Value">${AUTO}</s>
                      </be>
                    </val>
                    <key>
                      <s>categoriaList</s>
                    </key>
                    <val>
                      <be refId="812" clsId="FilterNodeParameterValue">
                        <ref key="ParamSetType" refId="793"/>
                      </be>
                    </val>
                    <key>
                      <s>contoCalcolatoOrdinamentoList</s>
                    </key>
                    <val>
                      <be refId="813" clsId="StringParameterValue">
                        <e key="ParamSetType" refId="814" id="ParamSetType">ESPLICITA_DIGITA</e>
                        <s key="Value"/>
                      </be>
                    </val>
                    <key>
                      <s>numRettificaList</s>
                    </key>
                    <val>
                      <be refId="815" clsId="StringParameterValue">
                        <ref key="ParamSetType" refId="814"/>
                        <s key="Value"/>
                      </be>
                    </val>
                    <key>
                      <s>contoCalcolatoDati</s>
                    </key>
                    <val>
                      <be refId="816" clsId="StringParameterValue">
                        <ref key="ParamSetType" refId="793"/>
                        <s key="Value">False</s>
                      </be>
                    </val>
                    <key>
                      <s>contoList</s>
                    </key>
                    <val>
                      <be refId="817" clsId="FilterNodeParameterValue">
                        <ref key="ParamSetType" refId="793"/>
                      </be>
                    </val>
                    <key>
                      <s>dest3List</s>
                    </key>
                    <val>
                      <be refId="818" clsId="FilterNodeParameterValue">
                        <ref key="ParamSetType" refId="793"/>
                        <be key="Value" refId="819" clsId="FilterNode">
                          <l key="dimensionOids" refId="820" ln="1" eid="DimensionOid">
                            <cust clsId="DimensionOid">4445535433-45-473031---</cust>
                          </l>
                          <l key="AdHocParamDimensionOids" refId="821" ln="0" eid="DimensionOid"/>
                          <be key="data" refId="822" clsId="FilterNodeData">
                            <ref key="filterNode" refId="819"/>
                            <s key="dim">DEST3</s>
                            <i key="segmentLevel">0</i>
                            <ref key="segment" refId="51"/>
                            <b key="placeHolder">N</b>
                            <ref key="weight" refId="42"/>
                            <ref key="change" refId="55"/>
                            <ref key="dataType" refId="44"/>
                            <b key="prevailingDataType">N</b>
                            <ref key="editability" refId="45"/>
                            <b key="signChange">N</b>
                            <b key="nativeSignChange">N</b>
                            <l key="nav" refId="823" ln="0" eid="ScenarioModifierValue"/>
                            <i key="sco">0</i>
                            <b key="applyFiltersForForcedScenarioPeriodoMap">N</b>
                            <b key="lineSplit">N</b>
                            <s key="adHocStyleSheetId"/>
                            <b key="addRCRow">N</b>
                            <b key="complementary">N</b>
                            <b key="breakLevelSubtotal">N</b>
                          </be>
                          <cust key="id" clsId="FilterOid">2</cust>
                          <s key="cod"/>
                          <s key="desc"/>
                          <i key="index">0</i>
                          <l key="children" refId="824" ln="0" eid="Framework.com.tagetik.trees.INode,framework"/>
                        </be>
                      </be>
                    </val>
                    <key>
                      <s>contoCalcolatoList</s>
                    </key>
                    <val>
                      <be refId="825" clsId="StringParameterValue">
                        <ref key="ParamSetType" refId="793"/>
                        <s key="Value">RV_020,RV_030,RV_040</s>
                      </be>
                    </val>
                  </m>
                  <i key="index">0</i>
                  <b key="refreshReport">N</b>
                  <b key="refreshTree">N</b>
                  <b key="onSave">S</b>
                  <b key="skipSheetFilters">N</b>
                  <b key="useModifiedCellFilters">N</b>
                  <b key="createButton">N</b>
                </be>
              </val>
            </m>
            <m key="actionLists" refId="826" keid="SYS_STR" veid="Reporting.com.tagetik.actionlist.ISnapshotActionList,Reporting">
              <key>
                <s>Hyperlink01</s>
              </key>
              <val>
                <be refId="827" clsId="ActionList">
                  <be key="rootStep" refId="828" clsId="ActionNode">
                    <be key="parameters" refId="829" clsId="ActionListParameters">
                      <s key="cod">Hyperlink01</s>
                      <be key="desc" refId="830" clsId="MultiDesc">
                        <a key="desc" refId="831" ln="4" eid="SYS_STR">
                          <s>Hyperlink01</s>
                          <s>Hyperlink01</s>
                          <s>Hyperlink01</s>
                          <s>Hyperlink01</s>
                        </a>
                      </be>
                    </be>
                    <s key="actionDescriptorCode">AL</s>
                    <cust key="id" clsId="FilterOid">1</cust>
                    <b key="leaf">N</b>
                    <s key="desc">Hyperlink01 - Hyperlink01</s>
                    <i key="index">0</i>
                    <l key="children" refId="832" ln="1" eid="Framework.com.tagetik.trees.INode,framework">
                      <be refId="833" clsId="ActionNode">
                        <be key="parameters" refId="834" clsId="OpenReportParameters">
                          <l key="oidReports" refId="835" ln="1" eid="Framework.com.tagetik.trees.Oid,framework">
                            <cust clsId="DimensionOid">50524F53504554544F-45-423131305F313033-42313130--</cust>
                          </l>
                          <e key="openTargetMode" refId="836" id="OpenTargetMode">I</e>
                          <b key="inheritProcessCode">S</b>
                          <be key="parametersMapping" refId="837" clsId="ParametersMapping">
                            <m key="SystemParametersValues" refId="838" keid="SYS_STR" veid="Reporting.com.tagetik.report.parametersValue.IParameterValue,Reporting">
                              <key>
                                <s>415A495F3130-45-24415A495F31305F50--50-</s>
                              </key>
                              <val>
                                <be refId="839" clsId="StringParameterValue">
                                  <e key="ParamSetType" refId="840" id="ParamSetType">AUTO_EREDITA</e>
                                  <s key="Value">${INHERIT}</s>
                                </be>
                              </val>
                              <key>
                                <s>534345-45-5350424447--50-</s>
                              </key>
                              <val>
                                <be refId="841" clsId="StringParameterValue">
                                  <ref key="ParamSetType" refId="840"/>
                                  <s key="Value">${INHERIT}</s>
                                </be>
                              </val>
                            </m>
                            <be key="ParametersUnion" refId="842" clsId="ParametersUnion">
                              <l key="SystemParameters" refId="843" ln="2" eid="ProspParametro">
                                <be refId="844" clsId="ProspParametroDim">
                                  <s key="codDimensione">AZI</s>
                                  <a key="allowedOids" refId="845" ln="0" eid="DimensionOid"/>
                                  <b key="allowsLeafs">S</b>
                                  <b key="allowsNodes">S</b>
                                  <b key="automatico">S</b>
                                  <s key="codGerarchia">10</s>
                                  <e key="allowOr" refId="846" id="AllowOrEnum">D</e>
                                  <e key="autoValorizzaSeOmesso" refId="847" id="AutoValorizzaSeOmessoEnum">D</e>
                                  <cust key="oid" clsId="DimensionOid">415A495F3130-45-24415A495F31305F50--50-</cust>
                                  <set key="oidValori" refId="848" ln="0" eid="DimensionOid"/>
                                  <b key="limParametro">N</b>
                                  <b key="limProcessoDisabilitata">N</b>
                                  <b key="sistema">S</b>
                                  <b key="netClient">S</b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$AZI_10_P</s>
                                  <be key="multiDescVO" refId="849" clsId="MultiDesc">
                                    <a key="desc" refId="850" ln="4" eid="SYS_STR">
                                      <nl/>
                                      <s>Regional View</s>
                                      <nl/>
                                      <nl/>
                                    </a>
                                  </be>
                                </be>
                                <be refId="851" clsId="ProspParametroDim">
                                  <s key="codDimensione">SCE</s>
                                  <a key="allowedOids" refId="852" ln="6" eid="DimensionOid">
                                    <cust clsId="DimensionOid">534345-45-32303132414354---</cust>
                                    <cust clsId="DimensionOid">534345-45-32303133414354---</cust>
                                    <cust clsId="DimensionOid">534345-45-32303133424447---</cust>
                                    <cust clsId="DimensionOid">534345-45-323031334244475631---</cust>
                                    <cust clsId="DimensionOid">534345-45-323031334244475632---</cust>
                                    <cust clsId="DimensionOid">534345-45-323031334244475F3030---</cust>
                                  </a>
                                  <b key="allowsLeafs">S</b>
                                  <b key="allowsNodes">S</b>
                                  <b key="automatico">N</b>
                                  <e key="tipoDinamicita" refId="853" id="DynamicEnum"/>
                                  <ref key="allowOr" refId="846"/>
                                  <ref key="autoValorizzaSeOmesso" refId="847"/>
                                  <cust key="oid" clsId="DimensionOid">534345-45-5350424447--50-</cust>
                                  <set key="oidValori" refId="854" ln="0" eid="DimensionOid"/>
                                  <b key="limParametro">S</b>
                                  <b key="limProcessoDisabilitata">N</b>
                                  <b key="sistema">N</b>
                                  <b key="netClient">N</b>
                                  <s key="descLunga0">Scenario  Parametrico Budget</s>
                                  <s key="descLunga1">Parametric Budget Scenario</s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S</b>
                                  <b key="isAdHocParameter">N</b>
                                  <b key="dependent">N</b>
                                  <s key="code">SPBDG</s>
                                  <be key="multiDescVO" refId="855" clsId="MultiDesc">
                                    <a key="desc" refId="856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</be>
                              </l>
                              <m key="SystemVisibilities" refId="857" keid="SYS_STR" veid="ParameterValuesVisibilities">
                                <key>
                                  <s>415A495F3130-45-24415A495F31305F50--50-</s>
                                </key>
                                <val>
                                  <be refId="858" clsId="ParameterValuesVisibilities">
                                    <set key="showOids" refId="859" ln="0" eid="DimensionOid"/>
                                    <b key="allValues">S</b>
                                  </be>
                                </val>
                                <key>
                                  <s>534345-45-5350424447--50-</s>
                                </key>
                                <val>
                                  <be refId="860" clsId="ParameterValuesVisibilities">
                                    <set key="showOids" refId="861" ln="6" eid="DimensionOid">
                                      <cust clsId="DimensionOid">534345-45-323031334244475F3030---</cust>
                                      <cust clsId="DimensionOid">534345-45-323031334244475632---</cust>
                                      <cust clsId="DimensionOid">534345-45-323031334244475631---</cust>
                                      <cust clsId="DimensionOid">534345-45-32303132414354---</cust>
                                      <cust clsId="DimensionOid">534345-45-32303133424447---</cust>
                                      <cust clsId="DimensionOid">534345-45-32303133414354---</cust>
                                    </set>
                                    <b key="allValues">N</b>
                                  </be>
                                </val>
                              </m>
                              <l key="AreaNames" refId="862" ln="0" eid="ProspParametro"/>
                              <m key="AdHocParameters" refId="863"/>
                              <m key="AdHocVisibilities" refId="864"/>
                            </be>
                          </be>
                          <e key="valuelessParamMode" refId="865" id="ValuelessParamMode">1</e>
                        </be>
                        <s key="actionDescriptorCode">OPEN</s>
                        <cust key="id" clsId="FilterOid">2</cust>
                        <b key="leaf">N</b>
                        <s key="desc">Open Reports (RP_SD_PERC)</s>
                        <i key="index">0</i>
                        <ref key="parent" refId="828"/>
                      </be>
                    </l>
                  </be>
                </be>
              </val>
              <key>
                <s>Hyperlink02</s>
              </key>
              <val>
                <be refId="866" clsId="ActionList">
                  <be key="rootStep" refId="867" clsId="ActionNode">
                    <be key="parameters" refId="868" clsId="ActionListParameters">
                      <s key="cod">Hyperlink02</s>
                      <be key="desc" refId="869" clsId="MultiDesc">
                        <a key="desc" refId="870" ln="4" eid="SYS_STR">
                          <s>Hyperlink02</s>
                          <s>Hyperlink02</s>
                          <s>Hyperlink02</s>
                          <s>Hyperlink02</s>
                        </a>
                      </be>
                    </be>
                    <s key="actionDescriptorCode">AL</s>
                    <cust key="id" clsId="FilterOid">1</cust>
                    <b key="leaf">N</b>
                    <i key="index">0</i>
                    <l key="children" refId="871" ln="1" eid="Framework.com.tagetik.trees.INode,framework">
                      <be refId="872" clsId="ActionNode">
                        <be key="parameters" refId="873" clsId="OpenReportParameters">
                          <l key="oidReports" refId="874" ln="1" eid="Framework.com.tagetik.trees.Oid,framework">
                            <cust clsId="DimensionOid">50524F53504554544F-45-423132325F313032-423132303230--</cust>
                          </l>
                          <e key="openTargetMode" refId="875" id="OpenTargetMode">D</e>
                          <s key="processCode">BUDGET</s>
                          <b key="inheritProcessCode">N</b>
                          <be key="parametersMapping" refId="876" clsId="ParametersMapping">
                            <m key="SystemParametersValues" refId="877" keid="SYS_STR" veid="Reporting.com.tagetik.report.parametersValue.IParameterValue,Reporting">
                              <key>
                                <s>534345-45-5350424447--50-</s>
                              </key>
                              <val>
                                <be refId="878" clsId="FilterNodeParameterValue">
                                  <ref key="ParamSetType" refId="793"/>
                                  <be key="Value" refId="879" clsId="FilterNode">
                                    <l key="dimensionOids" refId="880" ln="1" eid="DimensionOid">
                                      <cust clsId="DimensionOid">534345-45-32303134424447---</cust>
                                    </l>
                                    <l key="AdHocParamDimensionOids" refId="881" ln="0" eid="DimensionOid"/>
                                    <be key="data" refId="882" clsId="FilterNodeData">
                                      <ref key="filterNode" refId="879"/>
                                      <s key="dim">SCE</s>
                                      <i key="segmentLevel">0</i>
                                      <ref key="segment" refId="41"/>
                                      <b key="placeHolder">N</b>
                                      <ref key="weight" refId="42"/>
                                      <ref key="change" refId="43"/>
                                      <ref key="dataType" refId="44"/>
                                      <b key="prevailingDataType">N</b>
                                      <ref key="editability" refId="45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3</cust>
                                    <i key="index">0</i>
                                  </be>
                                </be>
                              </val>
                              <key>
                                <s>415A495F3130-45-24415A495F31305F50--50-</s>
                              </key>
                              <val>
                                <be refId="883" clsId="FilterNodeParameterValue">
                                  <ref key="ParamSetType" refId="793"/>
                                  <be key="Value" refId="884" clsId="FilterNode">
                                    <l key="dimensionOids" refId="885" ln="1" eid="DimensionOid">
                                      <cust clsId="DimensionOid">415A495F3130-45-433030---</cust>
                                    </l>
                                    <l key="AdHocParamDimensionOids" refId="886" ln="0" eid="DimensionOid"/>
                                    <be key="data" refId="887" clsId="FilterNodeData">
                                      <ref key="filterNode" refId="884"/>
                                      <s key="dim">AZI_10</s>
                                      <i key="segmentLevel">0</i>
                                      <ref key="segment" refId="41"/>
                                      <b key="placeHolder">N</b>
                                      <ref key="weight" refId="42"/>
                                      <ref key="change" refId="43"/>
                                      <ref key="dataType" refId="44"/>
                                      <b key="prevailingDataType">N</b>
                                      <ref key="editability" refId="45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3</cust>
                                    <i key="index">0</i>
                                  </be>
                                </be>
                              </val>
                              <key>
                                <s>44455354315F3031-45-494E485F505F43--50-</s>
                              </key>
                              <val>
                                <be refId="888" clsId="FilterNodeParameterValue">
                                  <ref key="ParamSetType" refId="793"/>
                                  <be key="Value" refId="889" clsId="FilterNode">
                                    <l key="dimensionOids" refId="890" ln="1" eid="DimensionOid">
                                      <cust clsId="DimensionOid">44455354315F3031-45-433032---</cust>
                                    </l>
                                    <l key="AdHocParamDimensionOids" refId="891" ln="0" eid="DimensionOid"/>
                                    <be key="data" refId="892" clsId="FilterNodeData">
                                      <ref key="filterNode" refId="889"/>
                                      <s key="dim">DEST1_01</s>
                                      <i key="segmentLevel">0</i>
                                      <ref key="segment" refId="41"/>
                                      <b key="placeHolder">N</b>
                                      <ref key="weight" refId="42"/>
                                      <ref key="change" refId="43"/>
                                      <ref key="dataType" refId="44"/>
                                      <b key="prevailingDataType">N</b>
                                      <ref key="editability" refId="45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</be>
                                    <cust key="id" clsId="FilterOid">3</cust>
                                    <i key="index">0</i>
                                  </be>
                                </be>
                              </val>
                            </m>
                            <be key="ParametersUnion" refId="893" clsId="ParametersUnion">
                              <l key="SystemParameters" refId="894" ln="3" eid="ProspParametro">
                                <be refId="895" clsId="ProspParametroDim">
                                  <s key="codDimensione">DEST1</s>
                                  <a key="allowedOids" refId="896" ln="0" eid="DimensionOid"/>
                                  <b key="allowsLeafs">S</b>
                                  <b key="allowsNodes">N</b>
                                  <b key="automatico">N</b>
                                  <ref key="tipoDinamicita" refId="853"/>
                                  <s key="script">
                                    TGKML 1.0
                                    <ch cod="0a"/>
                                    result :=
                                  </s>
                                  <s key="codGerarchia">01</s>
                                  <ref key="allowOr" refId="846"/>
                                  <ref key="autoValorizzaSeOmesso" refId="847"/>
                                  <cust key="oid" clsId="DimensionOid">44455354315F3031-45-494E485F505F43--50-</cust>
                                  <set key="oidValori" refId="897" ln="0" eid="DimensionOid"/>
                                  <b key="limParametro">N</b>
                                  <b key="limProcessoDisabilitata">N</b>
                                  <b key="sistema">N</b>
                                  <b key="netClient">S</b>
                                  <s key="descLunga0"/>
                                  <s key="descLunga1"/>
                                  <s key="descLunga2"/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S</b>
                                  <b key="isAdHocParameter">N</b>
                                  <b key="dependent">N</b>
                                  <s key="code">INH_P_C</s>
                                  <be key="multiDescVO" refId="898" clsId="MultiDesc">
                                    <a key="desc" refId="899" ln="4" eid="SYS_STR">
                                      <s>Inherit Parameters for cost center</s>
                                      <s>Inherit Parameters for cost center</s>
                                      <s>Inherit Parameters for cost center</s>
                                      <nl/>
                                    </a>
                                  </be>
                                </be>
                                <be refId="900" clsId="ProspParametroDim">
                                  <s key="codDimensione">AZI</s>
                                  <a key="allowedOids" refId="901" ln="0" eid="DimensionOid"/>
                                  <b key="allowsLeafs">S</b>
                                  <b key="allowsNodes">S</b>
                                  <b key="automatico">S</b>
                                  <s key="codGerarchia">10</s>
                                  <ref key="allowOr" refId="846"/>
                                  <ref key="autoValorizzaSeOmesso" refId="847"/>
                                  <cust key="oid" clsId="DimensionOid">415A495F3130-45-24415A495F31305F50--50-</cust>
                                  <set key="oidValori" refId="902" ln="0" eid="DimensionOid"/>
                                  <b key="limParametro">N</b>
                                  <b key="limProcessoDisabilitata">N</b>
                                  <b key="sistema">S</b>
                                  <b key="netClient">S</b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$AZI_10_P</s>
                                  <be key="multiDescVO" refId="903" clsId="MultiDesc">
                                    <a key="desc" refId="904" ln="4" eid="SYS_STR">
                                      <nl/>
                                      <s>Regional View</s>
                                      <nl/>
                                      <nl/>
                                    </a>
                                  </be>
                                </be>
                                <be refId="905" clsId="ProspParametroDim">
                                  <s key="codDimensione">SCE</s>
                                  <a key="allowedOids" refId="906" ln="6" eid="DimensionOid">
                                    <cust clsId="DimensionOid">534345-45-32303133414354---</cust>
                                    <cust clsId="DimensionOid">534345-45-32303134414354---</cust>
                                    <cust clsId="DimensionOid">534345-45-32303134424447---</cust>
                                    <cust clsId="DimensionOid">534345-45-323031344244475631---</cust>
                                    <cust clsId="DimensionOid">534345-45-323031344244475632---</cust>
                                    <cust clsId="DimensionOid">534345-45-323031344244475F3030---</cust>
                                  </a>
                                  <b key="allowsLeafs">S</b>
                                  <b key="allowsNodes">S</b>
                                  <b key="automatico">N</b>
                                  <ref key="tipoDinamicita" refId="853"/>
                                  <ref key="allowOr" refId="846"/>
                                  <ref key="autoValorizzaSeOmesso" refId="847"/>
                                  <cust key="oid" clsId="DimensionOid">534345-45-5350424447--50-</cust>
                                  <set key="oidValori" refId="907" ln="0" eid="DimensionOid"/>
                                  <b key="limParametro">S</b>
                                  <b key="limProcessoDisabilitata">N</b>
                                  <b key="sistema">N</b>
                                  <b key="netClient">N</b>
                                  <s key="descLunga0">Scenario  Parametrico Budget</s>
                                  <s key="descLunga1">Parametric Budget Scenario</s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S</b>
                                  <b key="isAdHocParameter">N</b>
                                  <b key="dependent">N</b>
                                  <s key="code">SPBDG</s>
                                  <be key="multiDescVO" refId="908" clsId="MultiDesc">
                                    <a key="desc" refId="909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</be>
                              </l>
                              <m key="SystemVisibilities" refId="910" keid="SYS_STR" veid="ParameterValuesVisibilities">
                                <key>
                                  <s>534345-45-5350424447--50-</s>
                                </key>
                                <val>
                                  <be refId="911" clsId="ParameterValuesVisibilities">
                                    <set key="showOids" refId="912" ln="6" eid="DimensionOid">
                                      <cust clsId="DimensionOid">534345-45-32303134424447---</cust>
                                      <cust clsId="DimensionOid">534345-45-323031344244475631---</cust>
                                      <cust clsId="DimensionOid">534345-45-323031344244475F3030---</cust>
                                      <cust clsId="DimensionOid">534345-45-32303133414354---</cust>
                                      <cust clsId="DimensionOid">534345-45-323031344244475632---</cust>
                                      <cust clsId="DimensionOid">534345-45-32303134414354---</cust>
                                    </set>
                                    <b key="allValues">N</b>
                                  </be>
                                </val>
                                <key>
                                  <s>415A495F3130-45-24415A495F31305F50--50-</s>
                                </key>
                                <val>
                                  <be refId="913" clsId="ParameterValuesVisibilities">
                                    <set key="showOids" refId="914" ln="0" eid="DimensionOid"/>
                                    <b key="allValues">S</b>
                                  </be>
                                </val>
                                <key>
                                  <s>44455354315F3031-45-494E485F505F43--50-</s>
                                </key>
                                <val>
                                  <be refId="915" clsId="ParameterValuesVisibilities">
                                    <set key="showOids" refId="916" ln="0" eid="DimensionOid"/>
                                    <b key="allValues">S</b>
                                  </be>
                                </val>
                              </m>
                              <l key="AreaNames" refId="917" ln="0" eid="ProspParametro"/>
                              <m key="AdHocParameters" refId="918"/>
                              <m key="AdHocVisibilities" refId="919"/>
                            </be>
                          </be>
                          <ref key="valuelessParamMode" refId="865"/>
                        </be>
                        <s key="actionDescriptorCode">OPEN</s>
                        <cust key="id" clsId="FilterOid">2</cust>
                        <b key="leaf">N</b>
                        <i key="index">0</i>
                        <ref key="parent" refId="867"/>
                      </be>
                    </l>
                  </be>
                </be>
              </val>
              <key>
                <s>Hyperlink00</s>
              </key>
              <val>
                <be refId="920" clsId="ActionList">
                  <be key="rootStep" refId="921" clsId="ActionNode">
                    <be key="parameters" refId="922" clsId="ActionListParameters">
                      <s key="cod">Hyperlink00</s>
                      <be key="desc" refId="923" clsId="MultiDesc">
                        <a key="desc" refId="924" ln="4" eid="SYS_STR">
                          <s>Hyperlink00</s>
                          <s>Hyperlink00</s>
                          <s>Hyperlink00</s>
                          <s>Hyperlink00</s>
                        </a>
                      </be>
                    </be>
                    <s key="actionDescriptorCode">AL</s>
                    <cust key="id" clsId="FilterOid">1</cust>
                    <b key="leaf">N</b>
                    <s key="desc">Hyperlink00 - Hyperlink00</s>
                    <i key="index">0</i>
                    <l key="children" refId="925" ln="1" eid="Framework.com.tagetik.trees.INode,framework">
                      <be refId="926" clsId="ActionNode">
                        <be key="parameters" refId="927" clsId="OpenReportParameters">
                          <l key="oidReports" refId="928" ln="1" eid="Framework.com.tagetik.trees.Oid,framework">
                            <cust clsId="DimensionOid">50524F53504554544F-45-423131305F313031-42313130--</cust>
                          </l>
                          <ref key="openTargetMode" refId="836"/>
                          <b key="inheritProcessCode">S</b>
                          <be key="parametersMapping" refId="929" clsId="ParametersMapping">
                            <m key="SystemParametersValues" refId="930" keid="SYS_STR" veid="Reporting.com.tagetik.report.parametersValue.IParameterValue,Reporting">
                              <key>
                                <s>44455354325F3031-45-2444455354325F30315F50--50-</s>
                              </key>
                              <val>
                                <be refId="931" clsId="StringParameterValue">
                                  <e key="ParamSetType" refId="932" id="ParamSetType">AUTO_CONTESTO</e>
                                  <s key="Value">${AUTO}</s>
                                </be>
                              </val>
                              <key>
                                <s>415A495F3130-45-24415A495F31305F50--50-</s>
                              </key>
                              <val>
                                <be refId="933" clsId="StringParameterValue">
                                  <ref key="ParamSetType" refId="840"/>
                                  <s key="Value">${INHERIT}</s>
                                </be>
                              </val>
                              <key>
                                <s>534345-45-5350424447--50-</s>
                              </key>
                              <val>
                                <be refId="934" clsId="StringParameterValue">
                                  <ref key="ParamSetType" refId="932"/>
                                  <s key="Value">${AUTO}</s>
                                </be>
                              </val>
                            </m>
                            <be key="ParametersUnion" refId="935" clsId="ParametersUnion">
                              <l key="SystemParameters" refId="936" ln="3" eid="ProspParametro">
                                <be refId="937" clsId="ProspParametroDim">
                                  <s key="codDimensione">AZI</s>
                                  <a key="allowedOids" refId="938" ln="0" eid="DimensionOid"/>
                                  <b key="allowsLeafs">S</b>
                                  <b key="allowsNodes">S</b>
                                  <b key="automatico">S</b>
                                  <s key="codGerarchia">10</s>
                                  <cust key="oid" clsId="DimensionOid">415A495F3130-45-24415A495F31305F50--50-</cust>
                                  <set key="oidValori" refId="939" ln="0" eid="DimensionOid"/>
                                  <b key="limParametro">N</b>
                                  <b key="limProcessoDisabilitata">N</b>
                                  <b key="sistema">S</b>
                                  <b key="netClient">S</b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$AZI_10_P</s>
                                  <be key="multiDescVO" refId="940" clsId="MultiDesc">
                                    <a key="desc" refId="941" ln="4" eid="SYS_STR">
                                      <nl/>
                                      <s>Entity</s>
                                      <nl/>
                                      <nl/>
                                    </a>
                                  </be>
                                </be>
                                <be refId="942" clsId="ProspParametroDim">
                                  <s key="codDimensione">DEST2</s>
                                  <a key="allowedOids" refId="943" ln="0" eid="DimensionOid"/>
                                  <b key="allowsLeafs">S</b>
                                  <b key="allowsNodes">S</b>
                                  <b key="automatico">S</b>
                                  <s key="codGerarchia">01</s>
                                  <cust key="oid" clsId="DimensionOid">44455354325F3031-45-2444455354325F30315F50--50-</cust>
                                  <set key="oidValori" refId="944" ln="0" eid="DimensionOid"/>
                                  <b key="limParametro">N</b>
                                  <b key="limProcessoDisabilitata">N</b>
                                  <b key="sistema">S</b>
                                  <b key="netClient">S</b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N</b>
                                  <b key="isAdHocParameter">N</b>
                                  <b key="dependent">N</b>
                                  <s key="code">$DEST2_01_P</s>
                                  <be key="multiDescVO" refId="945" clsId="MultiDesc">
                                    <a key="desc" refId="946" ln="4" eid="SYS_STR">
                                      <nl/>
                                      <s>Product</s>
                                      <nl/>
                                      <nl/>
                                    </a>
                                  </be>
                                </be>
                                <be refId="947" clsId="ProspParametroDim">
                                  <s key="codDimensione">SCE</s>
                                  <a key="allowedOids" refId="948" ln="4" eid="DimensionOid">
                                    <cust clsId="DimensionOid">534345-45-3230313241---</cust>
                                    <cust clsId="DimensionOid">534345-45-32303132424447---</cust>
                                    <cust clsId="DimensionOid">534345-45-323031324244475631---</cust>
                                    <cust clsId="DimensionOid">534345-45-323031324244475632---</cust>
                                  </a>
                                  <b key="allowsLeafs">S</b>
                                  <b key="allowsNodes">S</b>
                                  <b key="automatico">N</b>
                                  <ref key="tipoDinamicita" refId="853"/>
                                  <cust key="oid" clsId="DimensionOid">534345-45-5350424447--50-</cust>
                                  <set key="oidValori" refId="949" ln="0" eid="DimensionOid"/>
                                  <b key="limParametro">S</b>
                                  <b key="limProcessoDisabilitata">N</b>
                                  <b key="sistema">N</b>
                                  <b key="netClient">N</b>
                                  <s key="descLunga0">Scenario  Parametrico Budget</s>
                                  <s key="descLunga1">Parametric Budget Scenario</s>
                                  <b key="allowsAuto">S</b>
                                  <b key="allowsCellField">S</b>
                                  <b key="allowsExplicit">S</b>
                                  <b key="allowsList">S</b>
                                  <b key="mandatory">S</b>
                                  <b key="isAdHocParameter">N</b>
                                  <b key="dependent">N</b>
                                  <s key="code">SPBDG</s>
                                  <be key="multiDescVO" refId="950" clsId="MultiDesc">
                                    <a key="desc" refId="951" ln="4" eid="SYS_STR">
                                      <s>Scenario  Parametrico Budget</s>
                                      <s>Parametric Budget Scenario</s>
                                      <nl/>
                                      <nl/>
                                    </a>
                                  </be>
                                </be>
                              </l>
                              <m key="SystemVisibilities" refId="952" keid="SYS_STR" veid="ParameterValuesVisibilities">
                                <key>
                                  <s>44455354325F3031-45-2444455354325F30315F50--50-</s>
                                </key>
                                <val>
                                  <be refId="953" clsId="ParameterValuesVisibilities">
                                    <set key="showOids" refId="954" ln="0" eid="DimensionOid"/>
                                    <b key="allValues">S</b>
                                  </be>
                                </val>
                                <key>
                                  <s>415A495F3130-45-24415A495F31305F50--50-</s>
                                </key>
                                <val>
                                  <be refId="955" clsId="ParameterValuesVisibilities">
                                    <set key="showOids" refId="956" ln="0" eid="DimensionOid"/>
                                    <b key="allValues">S</b>
                                  </be>
                                </val>
                                <key>
                                  <s>534345-45-5350424447--50-</s>
                                </key>
                                <val>
                                  <be refId="957" clsId="ParameterValuesVisibilities">
                                    <set key="showOids" refId="958" ln="4" eid="DimensionOid">
                                      <cust clsId="DimensionOid">534345-45-3230313241---</cust>
                                      <cust clsId="DimensionOid">534345-45-323031324244475632---</cust>
                                      <cust clsId="DimensionOid">534345-45-32303132424447---</cust>
                                      <cust clsId="DimensionOid">534345-45-323031324244475631---</cust>
                                    </set>
                                    <b key="allValues">N</b>
                                  </be>
                                </val>
                              </m>
                              <l key="AreaNames" refId="959" ln="0" eid="ProspParametro"/>
                              <m key="AdHocParameters" refId="960"/>
                              <m key="AdHocVisibilities" refId="961"/>
                            </be>
                          </be>
                          <ref key="valuelessParamMode" refId="865"/>
                        </be>
                        <s key="actionDescriptorCode">OPEN</s>
                        <cust key="id" clsId="FilterOid">4</cust>
                        <b key="leaf">N</b>
                        <s key="desc">Open Reports (RP_UP&amp;UC)</s>
                        <i key="index">0</i>
                        <ref key="parent" refId="921"/>
                      </be>
                    </l>
                  </be>
                </be>
              </val>
            </m>
            <l key="areas" refId="962" ln="1" eid="SYS_STR">
              <s>AREATEST</s>
            </l>
            <l key="charts" refId="963" ln="0" eid="SYS_STR"/>
            <l key="pivots" refId="964" ln="0" eid="SYS_STR"/>
          </be>
        </val>
      </m>
      <m key="templateLayouts" refId="965" keid="SYS_STR" veid="Reporting.com.tagetik.report.IReportTemplateLayoutVO,Reporting">
        <key>
          <s>template</s>
        </key>
        <val>
          <be refId="966" clsId="ReportTemplateLayoutVO">
            <i key="index">0</i>
            <s key="code">template</s>
            <m key="cellFieldAddresses" refId="967" keid="SYS_STR" veid="Reporting.com.tagetik.spreadsheet.gridwrappers.IGridReaderVO,Reporting">
              <key>
                <s>$E$3</s>
              </key>
              <val>
                <be refId="968" clsId="ExcelCompactGridReaderVO">
                  <be key="element" refId="969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F9</s>
                </be>
              </val>
              <key>
                <s>$E$8</s>
              </key>
              <val>
                <be refId="970" clsId="ExcelCompactGridReaderVO">
                  <be key="element" refId="97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C11</s>
                </be>
              </val>
            </m>
            <m key="controlExpressionsAddresses" refId="972" keid="SYS_STR" veid="Reporting.com.tagetik.spreadsheet.gridwrappers.IGridReaderVO,Reporting"/>
            <m key="inlineParameterAddresses" refId="973" keid="SYS_STR" veid="Reporting.com.tagetik.spreadsheet.gridwrappers.IGridReaderVO,Reporting">
              <key>
                <s>InlineParameter01</s>
              </key>
              <val>
                <be refId="974" clsId="ExcelCompactGridReaderVO">
                  <be key="element" refId="975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C10</s>
                </be>
              </val>
              <key>
                <s>InlineParameter00</s>
              </key>
              <val>
                <be refId="976" clsId="ExcelCompactGridReaderVO">
                  <be key="element" refId="977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C9</s>
                </be>
              </val>
            </m>
            <m key="dictionaryAddresses" refId="978" keid="SYS_STR" veid="Reporting.com.tagetik.spreadsheet.gridwrappers.IGridReaderVO,Reporting"/>
            <m key="hyperlinkAddresses" refId="979" keid="SYS_STR" veid="Reporting.com.tagetik.spreadsheet.gridwrappers.IGridReaderVO,Reporting">
              <key>
                <s>Hyperlink01</s>
              </key>
              <val>
                <be refId="980" clsId="ExcelCompactGridReaderVO">
                  <be key="element" refId="9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N11</s>
                </be>
              </val>
              <key>
                <s>Hyperlink02</s>
              </key>
              <val>
                <be refId="982" clsId="ExcelCompactGridReaderVO">
                  <be key="element" refId="983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N9</s>
                </be>
              </val>
              <key>
                <s>Hyperlink00</s>
              </key>
              <val>
                <be refId="984" clsId="ExcelCompactGridReaderVO">
                  <be key="element" refId="985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N10</s>
                </be>
              </val>
            </m>
            <m key="matrixGridReaders" refId="986" keid="SYS_STR" veid="Reporting.com.tagetik.spreadsheet.gridwrappers.IGridReaderVO,Reporting">
              <key>
                <s>GROSS SALES</s>
              </key>
              <val>
                <be refId="987" clsId="ExcelCompactGridReaderVO">
                  <be key="element" refId="988" clsId="BasicLogicalElement">
                    <i key="columnHeadersCount">2</i>
                    <i key="rowHeadersCount">1</i>
                    <i key="valueColumns">18</i>
                    <i key="valueRows">1</i>
                  </be>
                  <s key="firstCell">C16</s>
                </be>
              </val>
              <key>
                <s>Matrix00</s>
              </key>
              <val>
                <be refId="989" clsId="ExcelCompactGridReaderVO">
                  <be key="element" refId="990" clsId="BasicLogicalElement">
                    <i key="columnHeadersCount">2</i>
                    <i key="rowHeadersCount">1</i>
                    <i key="valueColumns">14</i>
                    <i key="valueRows">3</i>
                  </be>
                  <s key="firstCell">C30</s>
                </be>
              </val>
              <key>
                <s>QUANTITY</s>
              </key>
              <val>
                <be refId="991" clsId="ExcelCompactGridReaderVO">
                  <be key="element" refId="992" clsId="BasicLogicalElement">
                    <i key="columnHeadersCount">2</i>
                    <i key="rowHeadersCount">1</i>
                    <i key="valueColumns">15</i>
                    <i key="valueRows">1</i>
                  </be>
                  <s key="firstCell">C22</s>
                </be>
              </val>
            </m>
            <m key="queryGridReaders" refId="993" keid="SYS_STR" veid="Reporting.com.tagetik.spreadsheet.gridwrappers.IGridReaderVO,Reporting"/>
          </be>
        </val>
      </m>
      <m key="adHocParameters" refId="994" keid="SYS_STR" veid="ProspParametro"/>
      <l key="parametersToBeRequested" refId="995" ln="3" eid="ParameterInfo">
        <be refId="996" clsId="ParameterInfo">
          <cust key="oid" clsId="DimensionOid">44455354325F3031-45-2444455354325F30315F50--50-</cust>
          <b key="explicitlyUsed">S</b>
          <b key="forced">N</b>
          <b key="advanced">N</b>
        </be>
        <be refId="997" clsId="ParameterInfo">
          <cust key="oid" clsId="DimensionOid">415A495F3130-45-24415A495F31305F50--50-</cust>
          <b key="explicitlyUsed">S</b>
          <b key="forced">N</b>
          <b key="advanced">N</b>
        </be>
        <be refId="998" clsId="ParameterInfo">
          <cust key="oid" clsId="DimensionOid">534345-45-5350424447--50-</cust>
          <b key="explicitlyUsed">S</b>
          <b key="forced">N</b>
          <b key="advanced">N</b>
        </be>
      </l>
      <be key="reportFilters" refId="999" clsId="FilterNode">
        <l key="dimensionOids" refId="1000" ln="0" eid="DimensionOid"/>
        <l key="AdHocParamDimensionOids" refId="1001" ln="0" eid="DimensionOid"/>
        <be key="data" refId="1002" clsId="FilterNodeData">
          <ref key="filterNode" refId="999"/>
          <i key="segmentLevel">0</i>
          <ref key="segment" refId="41"/>
          <b key="placeHolder">N</b>
          <ref key="weight" refId="42"/>
          <ref key="change" refId="43"/>
          <ref key="dataType" refId="44"/>
          <b key="prevailingDataType">N</b>
          <ref key="editability" refId="45"/>
          <b key="signChange">N</b>
          <b key="nativeSignChange">N</b>
          <i key="sco">0</i>
          <b key="applyFiltersForForcedScenarioPeriodoMap">N</b>
          <b key="lineSplit">N</b>
          <b key="addRCRow">N</b>
          <b key="complementary">N</b>
          <b key="breakLevelSubtotal">N</b>
        </be>
        <cust key="id" clsId="FilterOid">1</cust>
        <i key="index">0</i>
        <l key="children" refId="1003" ln="1" eid="Framework.com.tagetik.trees.INode,framework">
          <be refId="1004" clsId="FilterNode">
            <l key="dimensionOids" refId="1005" ln="1" eid="DimensionOid">
              <cust clsId="DimensionOid">415A495F3130-45-24415A495F31305F50--50-</cust>
            </l>
            <l key="AdHocParamDimensionOids" refId="1006" ln="0" eid="DimensionOid"/>
            <be key="data" refId="1007" clsId="FilterNodeData">
              <ref key="filterNode" refId="1004"/>
              <s key="dim">AZI_10</s>
              <i key="segmentLevel">0</i>
              <ref key="segment" refId="51"/>
              <b key="placeHolder">N</b>
              <ref key="weight" refId="42"/>
              <ref key="change" refId="55"/>
              <ref key="dataType" refId="44"/>
              <b key="prevailingDataType">N</b>
              <ref key="editability" refId="45"/>
              <b key="signChange">N</b>
              <b key="nativeSignChange">N</b>
              <l key="nav" refId="1008" ln="0" eid="ScenarioModifierValue"/>
              <i key="sco">0</i>
              <b key="applyFiltersForForcedScenarioPeriodoMap">N</b>
              <b key="lineSplit">N</b>
              <s key="adHocStyleSheetId"/>
              <b key="addRCRow">N</b>
              <b key="complementary">N</b>
              <b key="breakLevelSubtotal">N</b>
            </be>
            <cust key="id" clsId="FilterOid">3</cust>
            <s key="cod"/>
            <s key="desc"/>
            <i key="index">0</i>
            <l key="children" refId="1009" ln="0" eid="Framework.com.tagetik.trees.INode,framework"/>
            <ref key="parent" refId="999"/>
          </be>
        </l>
      </be>
      <be key="dashboardData" refId="1010" clsId="DashboardMultiTemplateData"/>
    </be>
  </data>
</easyPacket>
</file>

<file path=customXml/itemProps1.xml><?xml version="1.0" encoding="utf-8"?>
<ds:datastoreItem xmlns:ds="http://schemas.openxmlformats.org/officeDocument/2006/customXml" ds:itemID="{09DB1B51-215A-4690-B1E8-323579F2EF0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Gross Sales</vt:lpstr>
      <vt:lpstr>_tgk_hidden_styles</vt:lpstr>
      <vt:lpstr>AREATEST</vt:lpstr>
    </vt:vector>
  </TitlesOfParts>
  <Company>Tagetik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Rugani</dc:creator>
  <cp:lastModifiedBy>Alessio Lolli</cp:lastModifiedBy>
  <dcterms:created xsi:type="dcterms:W3CDTF">2009-05-04T15:13:19Z</dcterms:created>
  <dcterms:modified xsi:type="dcterms:W3CDTF">2014-08-14T14:51:36Z</dcterms:modified>
</cp:coreProperties>
</file>