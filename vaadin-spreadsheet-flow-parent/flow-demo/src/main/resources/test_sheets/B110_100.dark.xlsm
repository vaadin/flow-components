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  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0" yWindow="360" windowWidth="13980" windowHeight="10485" firstSheet="1" activeTab="1"/>
  </bookViews>
  <sheets>
    <sheet name="_TGK_HIDDEN" sheetId="7" state="veryHidden" r:id="rId1"/>
    <sheet name="Product Quantity" sheetId="3" r:id="rId2"/>
    <sheet name="Unit Price &amp; Cost" sheetId="8" r:id="rId3"/>
    <sheet name="_tgk_hidden_styles" r:id="rId10" sheetId="9" state="hidden"/>
  </sheets>
  <calcPr calcId="145621"/>
</workbook>
</file>

<file path=xl/calcChain.xml><?xml version="1.0" encoding="utf-8"?>
<calcChain xmlns="http://schemas.openxmlformats.org/spreadsheetml/2006/main">
  <c r="B2" i="7" l="1"/>
  <c r="F11" i="3" l="1"/>
  <c r="D11" i="3" l="1"/>
  <c r="B1" i="7" l="1"/>
</calcChain>
</file>

<file path=xl/sharedStrings.xml><?xml version="1.0" encoding="utf-8"?>
<sst xmlns="http://schemas.openxmlformats.org/spreadsheetml/2006/main" count="230" uniqueCount="169">
  <si>
    <t>template</t>
  </si>
  <si>
    <t>Total</t>
  </si>
  <si>
    <t>$Scenario.desc</t>
  </si>
  <si>
    <t>report.desc</t>
  </si>
  <si>
    <t>ADD new products</t>
  </si>
  <si>
    <t>Feb</t>
  </si>
  <si>
    <t>Mar</t>
  </si>
  <si>
    <t>Apr</t>
  </si>
  <si>
    <t>Nov</t>
  </si>
  <si>
    <t>Jan</t>
  </si>
  <si>
    <t>May</t>
  </si>
  <si>
    <t>Jul</t>
  </si>
  <si>
    <t>Aug</t>
  </si>
  <si>
    <t>Oct</t>
  </si>
  <si>
    <t>Dec</t>
  </si>
  <si>
    <t>Entity</t>
  </si>
  <si>
    <t>Total Product Family</t>
  </si>
  <si>
    <t>Product</t>
  </si>
  <si>
    <t>June</t>
  </si>
  <si>
    <t>Sept</t>
  </si>
  <si>
    <t>Parametric Budget Scenario (prev)</t>
  </si>
  <si>
    <t>Parametric Budget Scenario</t>
  </si>
  <si>
    <t>Update Sales Analysis</t>
  </si>
  <si>
    <t>Data Entry Form - Quantity</t>
  </si>
  <si>
    <t xml:space="preserve">Top Down Adjustment - Gross Sales </t>
  </si>
  <si>
    <t>Unit price</t>
  </si>
  <si>
    <t>Unit cost</t>
  </si>
  <si>
    <t>Margin</t>
  </si>
  <si>
    <t>Margin %</t>
  </si>
  <si>
    <t>$DEST2_01_P</t>
  </si>
  <si>
    <t>Template00</t>
  </si>
  <si>
    <t>Unit Price Global &amp; Product Family Increase</t>
  </si>
  <si>
    <t>Total_head</t>
  </si>
  <si>
    <t>TGK_TOC_SHEET_ROW</t>
  </si>
  <si>
    <t>TGK_TOC_REPORT_ROW</t>
  </si>
  <si>
    <t>Subtotal head row fill</t>
  </si>
  <si>
    <t>Head_left</t>
  </si>
  <si>
    <t>Output</t>
  </si>
  <si>
    <t>%0.0</t>
  </si>
  <si>
    <t>20% - Accent1</t>
  </si>
  <si>
    <t>20% - Accent2</t>
  </si>
  <si>
    <t>20% - Accent3</t>
  </si>
  <si>
    <t>20% - Accent4</t>
  </si>
  <si>
    <t>20% - Accent5</t>
  </si>
  <si>
    <t>Check Cell</t>
  </si>
  <si>
    <t>R_head_font</t>
  </si>
  <si>
    <t>Date</t>
  </si>
  <si>
    <t>Percent</t>
  </si>
  <si>
    <t>Subtotal_Head_C</t>
  </si>
  <si>
    <t>Hyperlnk row header underlined bold</t>
  </si>
  <si>
    <t>Amounts-1000</t>
  </si>
  <si>
    <t>Currency</t>
  </si>
  <si>
    <t>Placeholder_Header</t>
  </si>
  <si>
    <t>Total_Amounts_C</t>
  </si>
  <si>
    <t>Accent6</t>
  </si>
  <si>
    <t>Accent5</t>
  </si>
  <si>
    <t>Accent4</t>
  </si>
  <si>
    <t>Total_Head_C</t>
  </si>
  <si>
    <t>Neutral</t>
  </si>
  <si>
    <t>Accent3</t>
  </si>
  <si>
    <t>Calculation</t>
  </si>
  <si>
    <t>Total_amounts</t>
  </si>
  <si>
    <t>Accent2</t>
  </si>
  <si>
    <t>Accent1</t>
  </si>
  <si>
    <t>Subtotal Amounts row fill</t>
  </si>
  <si>
    <t>20% - Accent6</t>
  </si>
  <si>
    <t>Comma [0]</t>
  </si>
  <si>
    <t>Placeholder Header Underlined bold</t>
  </si>
  <si>
    <t>R_formula</t>
  </si>
  <si>
    <t>C_Head</t>
  </si>
  <si>
    <t>Explanatory Text</t>
  </si>
  <si>
    <t>Total_Headers_Margin</t>
  </si>
  <si>
    <t>Good</t>
  </si>
  <si>
    <t>ACT</t>
  </si>
  <si>
    <t>Subtotal_amounts</t>
  </si>
  <si>
    <t>Middle Headers Centered</t>
  </si>
  <si>
    <t>%0.</t>
  </si>
  <si>
    <t>60% - Accent4</t>
  </si>
  <si>
    <t>Currency [0]</t>
  </si>
  <si>
    <t>60% - Accent5</t>
  </si>
  <si>
    <t>60% - Accent2</t>
  </si>
  <si>
    <t>60% - Accent3</t>
  </si>
  <si>
    <t>40% - Accent3</t>
  </si>
  <si>
    <t>R_Area_font</t>
  </si>
  <si>
    <t>40% - Accent2</t>
  </si>
  <si>
    <t>Bad</t>
  </si>
  <si>
    <t>60% - Accent6</t>
  </si>
  <si>
    <t>40% - Accent1</t>
  </si>
  <si>
    <t>Data(USA)</t>
  </si>
  <si>
    <t>BDG</t>
  </si>
  <si>
    <t>Amounts_Board</t>
  </si>
  <si>
    <t>Work new book placeholder header underlined</t>
  </si>
  <si>
    <t>%0.00</t>
  </si>
  <si>
    <t>Normal</t>
  </si>
  <si>
    <t>Input</t>
  </si>
  <si>
    <t>Hyperlink for amounts</t>
  </si>
  <si>
    <t>Formula</t>
  </si>
  <si>
    <t>Placeholder_column_blank</t>
  </si>
  <si>
    <t>Warning Text</t>
  </si>
  <si>
    <t>Placeholder</t>
  </si>
  <si>
    <t>FST description blank</t>
  </si>
  <si>
    <t>TGK_TOC_PAGE_COLUMN</t>
  </si>
  <si>
    <t>Note</t>
  </si>
  <si>
    <t>Amounts left nolocked</t>
  </si>
  <si>
    <t>Linked Cell</t>
  </si>
  <si>
    <t>Title</t>
  </si>
  <si>
    <t>TGK_TOC_TEMPLATE_ROW</t>
  </si>
  <si>
    <t>Total_Amounts_Margin</t>
  </si>
  <si>
    <t>Heading 1</t>
  </si>
  <si>
    <t>40% - Accent4</t>
  </si>
  <si>
    <t>Amounts_right_nolocked</t>
  </si>
  <si>
    <t>40% - Accent5</t>
  </si>
  <si>
    <t>40% - Accent6</t>
  </si>
  <si>
    <t>Status Check</t>
  </si>
  <si>
    <t>Heading 4</t>
  </si>
  <si>
    <t>Heading 3</t>
  </si>
  <si>
    <t>60% - Accent1</t>
  </si>
  <si>
    <t>Heading 2</t>
  </si>
  <si>
    <t>Comma</t>
  </si>
  <si>
    <t>Subtotal_head</t>
  </si>
  <si>
    <t>C_Amount_ACT</t>
  </si>
  <si>
    <t>E00 - Europe</t>
  </si>
  <si>
    <t xml:space="preserve">X01 - Software </t>
  </si>
  <si>
    <t>2014 Budget</t>
  </si>
  <si>
    <t>Graphics</t>
  </si>
  <si>
    <t>Spyware Removal</t>
  </si>
  <si>
    <t>2013 Actual</t>
  </si>
  <si>
    <t>Utilities</t>
  </si>
  <si>
    <t>Multimedia Player</t>
  </si>
  <si>
    <t>Web applications</t>
  </si>
  <si>
    <t>Business SW</t>
  </si>
  <si>
    <t>Dic</t>
  </si>
  <si>
    <t>Office Automation</t>
  </si>
  <si>
    <t/>
  </si>
  <si>
    <t>Ago</t>
  </si>
  <si>
    <t>Mag</t>
  </si>
  <si>
    <t>Communication</t>
  </si>
  <si>
    <t>Set</t>
  </si>
  <si>
    <t>Giu</t>
  </si>
  <si>
    <t>Home SW</t>
  </si>
  <si>
    <t>Ott</t>
  </si>
  <si>
    <t>Design Tools</t>
  </si>
  <si>
    <t>Database</t>
  </si>
  <si>
    <t>Operating System</t>
  </si>
  <si>
    <t>Games</t>
  </si>
  <si>
    <t>Software</t>
  </si>
  <si>
    <t>Antivirus</t>
  </si>
  <si>
    <t>Financial Software</t>
  </si>
  <si>
    <t>Lug</t>
  </si>
  <si>
    <t>Gen</t>
  </si>
  <si>
    <t xml:space="preserve">Software </t>
  </si>
  <si>
    <t>A02</t>
  </si>
  <si>
    <t>A09</t>
  </si>
  <si>
    <t>Prezzo Unitario</t>
  </si>
  <si>
    <t>A08</t>
  </si>
  <si>
    <t>Costo unitario</t>
  </si>
  <si>
    <t>A04</t>
  </si>
  <si>
    <t>A10</t>
  </si>
  <si>
    <t>A25</t>
  </si>
  <si>
    <t>A12</t>
  </si>
  <si>
    <t>A03</t>
  </si>
  <si>
    <t>A06</t>
  </si>
  <si>
    <t>X01</t>
  </si>
  <si>
    <t>A01</t>
  </si>
  <si>
    <t>A07</t>
  </si>
  <si>
    <t>A11</t>
  </si>
  <si>
    <t>A13</t>
  </si>
  <si>
    <t>Europe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</si>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</sst>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formatCode="0.0%" numFmtId="164"/>
    <numFmt formatCode="dd/mm/yyyy;@" numFmtId="165"/>
    <numFmt formatCode="#,##0.00," numFmtId="166"/>
    <numFmt formatCode="dd/mm/yy;@" numFmtId="167"/>
    <numFmt formatCode="#,##0," numFmtId="168"/>
    <numFmt formatCode="mm/dd/yy;@" numFmtId="169"/>
    <numFmt formatCode="#.###." numFmtId="170"/>
    <numFmt formatCode="_(&quot;€&quot;* #,##0.00_);_(&quot;€&quot;* \(#,##0.00\);_(&quot;€&quot;* &quot;-&quot;??_);_(@_)" numFmtId="171"/>
    <numFmt formatCode="_(* #,##0_);_(* \(#,##0\);_(* &quot;-&quot;_);_(@_)" numFmtId="172"/>
    <numFmt formatCode="_(&quot;€&quot;* #,##0_);_(&quot;€&quot;* \(#,##0\);_(&quot;€&quot;* &quot;-&quot;_);_(@_)" numFmtId="173"/>
    <numFmt formatCode="_(* #,##0.00_);_(* \(#,##0.00\);_(* &quot;-&quot;??_);_(@_)" numFmtId="174"/>
  </numFmts>
  <fonts count="146" x14ac:knownFonts="1">
    <font>
      <sz val="11"/>
      <color rgb="FFFFFF"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color indexed="56"/>
      <name val="Tahoma"/>
      <family val="2"/>
    </font>
    <font>
      <b/>
      <sz val="9"/>
      <color indexed="27"/>
      <name val="Arial"/>
      <family val="2"/>
    </font>
    <font>
      <b/>
      <sz val="10"/>
      <name val="Tahoma"/>
      <family val="2"/>
    </font>
    <font>
      <i/>
      <sz val="10"/>
      <name val="Tahoma"/>
      <family val="2"/>
    </font>
    <font>
      <b/>
      <sz val="9"/>
      <color indexed="9"/>
      <name val="Tahoma"/>
      <family val="2"/>
    </font>
    <font>
      <sz val="8"/>
      <color indexed="8"/>
      <name val="Tahoma"/>
      <family val="2"/>
    </font>
    <font>
      <b/>
      <sz val="16"/>
      <name val="Tahoma"/>
      <family val="2"/>
    </font>
    <font>
      <sz val="10"/>
      <color indexed="9"/>
      <name val="Tahoma"/>
      <family val="2"/>
    </font>
    <font>
      <sz val="9"/>
      <color theme="0"/>
      <name val="Tahoma"/>
      <family val="2"/>
    </font>
    <font>
      <sz val="10"/>
      <color rgb="1F497D" theme="3"/>
      <name val="Tahoma"/>
      <family val="2"/>
    </font>
    <font>
      <b/>
      <sz val="10"/>
      <color rgb="1F497D" theme="3"/>
      <name val="Tahoma"/>
      <family val="2"/>
    </font>
    <font>
      <b/>
      <sz val="11"/>
      <color theme="3"/>
      <name val="Tahoma"/>
      <family val="2"/>
    </font>
    <font>
      <i/>
      <sz val="10"/>
      <color theme="3"/>
      <name val="Tahoma"/>
      <family val="2"/>
    </font>
    <font>
      <b/>
      <sz val="9"/>
      <color theme="0"/>
      <name val="Tahoma"/>
      <family val="2"/>
    </font>
    <font>
      <u/>
      <sz val="10"/>
      <color rgb="1F497D" theme="3"/>
      <name val="Tahoma"/>
      <family val="2"/>
    </font>
    <font>
      <sz val="11"/>
      <color rgb="FF3F3F76"/>
      <name val="Calibri"/>
      <family val="2"/>
      <scheme val="minor"/>
    </font>
    <font>
      <sz val="12"/>
      <color rgb="FF094A74"/>
      <name val="Tahoma"/>
      <family val="2"/>
    </font>
    <font>
      <b/>
      <sz val="11"/>
      <color rgb="FF3F3F3F"/>
      <name val="Calibri"/>
      <family val="2"/>
      <scheme val="minor"/>
    </font>
    <font>
      <b/>
      <sz val="10"/>
      <color rgb="FF094A74"/>
      <name val="Tahoma"/>
      <family val="2"/>
    </font>
    <font>
      <b/>
      <sz val="11"/>
      <color rgb="FF094A74"/>
      <name val="Tahoma"/>
      <family val="2"/>
    </font>
    <font>
      <sz val="11"/>
      <color rgb="FF094A74"/>
      <name val="Tahoma"/>
      <family val="2"/>
    </font>
    <font>
      <sz val="9"/>
      <name val="Arial"/>
      <family val="2"/>
    </font>
    <font>
      <sz val="11"/>
      <color rgb="FF002060"/>
      <name val="Tahoma"/>
      <family val="2"/>
    </font>
    <font>
      <sz val="8"/>
      <color rgb="1F497D" theme="3"/>
      <name val="Tahoma"/>
      <family val="2"/>
    </font>
    <font>
      <b/>
      <sz val="8"/>
      <color rgb="1F497D" theme="3"/>
      <name val="Tahoma"/>
      <family val="2"/>
    </font>
    <font>
      <sz val="11"/>
      <color rgb="000000" theme="0"/>
      <name val="Calibri"/>
      <family val="2"/>
      <scheme val="minor"/>
    </font>
    <font>
      <b/>
      <sz val="14"/>
      <color rgb="FF094A74"/>
      <name val="Tahoma"/>
      <family val="2"/>
    </font>
    <font>
      <u/>
      <sz val="8"/>
      <color theme="3"/>
      <name val="Tahoma"/>
      <family val="2"/>
    </font>
    <font>
      <sz val="9"/>
      <color rgb="FF094A74"/>
      <name val="Tahoma"/>
      <family val="2"/>
    </font>
    <font>
      <u/>
      <sz val="9"/>
      <color rgb="FF094A74"/>
      <name val="Tahoma"/>
      <family val="2"/>
    </font>
    <font>
      <sz val="10"/>
      <color theme="3"/>
      <name val="Webdings"/>
      <family val="1"/>
      <charset val="2"/>
    </font>
    <font>
      <sz val="10"/>
      <name val="Webdings"/>
      <family val="1"/>
      <charset val="2"/>
    </font>
    <font>
      <sz val="10"/>
      <color rgb="000000" theme="0"/>
      <name val="Arial"/>
      <family val="2"/>
    </font>
    <font>
      <b/>
      <sz val="14"/>
      <color indexed="23"/>
      <name val="Arial"/>
      <family val="2"/>
    </font>
    <font>
      <u/>
      <sz val="9"/>
      <color rgb="1F497D" theme="3"/>
      <name val="Tahoma"/>
      <family val="2"/>
    </font>
    <font>
      <sz val="9"/>
      <color rgb="1F497D" theme="3"/>
      <name val="Tahoma"/>
      <family val="2"/>
    </font>
    <font>
      <sz val="10"/>
      <name val="Tahoma"/>
      <family val="2"/>
    </font>
    <font>
      <sz val="11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color theme="0"/>
      <name val="Tahoma"/>
      <family val="2"/>
    </font>
    <font>
      <b/>
      <i/>
      <sz val="11"/>
      <color theme="1"/>
      <name val="Calibri"/>
      <family val="2"/>
      <scheme val="minor"/>
    </font>
    <font>
      <name val="Tahoma"/>
      <sz val="8.0"/>
      <b val="true"/>
      <color rgb="1F497D"/>
      <u val="none"/>
    </font>
    <font>
      <name val="Tahoma"/>
      <sz val="8.0"/>
      <color rgb="FFFFFF"/>
      <u val="none"/>
    </font>
    <font>
      <name val="Calibri"/>
      <sz val="11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b val="true"/>
      <color rgb="3F3F3F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b val="true"/>
      <color rgb="FFFFFF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singl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color rgb="9C6500"/>
      <u val="none"/>
    </font>
    <font>
      <name val="Calibri"/>
      <sz val="11.0"/>
      <color rgb="FFFFFF"/>
      <u val="none"/>
    </font>
    <font>
      <name val="Calibri"/>
      <sz val="11.0"/>
      <b val="true"/>
      <color rgb="FA7D00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7F7F7F"/>
      <i val="true"/>
      <u val="none"/>
    </font>
    <font>
      <name val="Tahoma"/>
      <sz val="8.0"/>
      <b val="true"/>
      <color rgb="1F497D"/>
      <u val="none"/>
    </font>
    <font>
      <name val="Calibri"/>
      <sz val="11.0"/>
      <color rgb="0061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Calibri"/>
      <sz val="11.0"/>
      <color rgb="9C0006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Calibri"/>
      <sz val="11.0"/>
      <color rgb="3F3F76"/>
      <u val="none"/>
    </font>
    <font>
      <name val="Tahoma"/>
      <sz val="8.0"/>
      <color rgb="1F497D"/>
      <u val="singl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0000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Calibri"/>
      <sz val="11.0"/>
      <color rgb="1F497D"/>
      <u val="none"/>
    </font>
    <font>
      <name val="Calibri"/>
      <sz val="11.0"/>
      <color rgb="FA7D00"/>
      <u val="none"/>
    </font>
    <font>
      <name val="Cambria"/>
      <sz val="18.0"/>
      <b val="true"/>
      <color rgb="1F497D"/>
      <u val="none"/>
    </font>
    <font>
      <name val="Calibri"/>
      <sz val="11.0"/>
      <b val="true"/>
      <color rgb="000000"/>
      <i val="true"/>
      <u val="none"/>
    </font>
    <font>
      <name val="Tahoma"/>
      <sz val="8.0"/>
      <b val="true"/>
      <color rgb="1F497D"/>
      <u val="none"/>
    </font>
    <font>
      <name val="Calibri"/>
      <sz val="15.0"/>
      <b val="true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Webdings"/>
      <sz val="10.0"/>
      <color rgb="1F497D"/>
      <u val="none"/>
    </font>
    <font>
      <name val="Calibri"/>
      <sz val="11.0"/>
      <b val="true"/>
      <color rgb="1F497D"/>
      <u val="none"/>
    </font>
    <font>
      <name val="Calibri"/>
      <sz val="11.0"/>
      <b val="true"/>
      <color rgb="1F497D"/>
      <u val="none"/>
    </font>
    <font>
      <name val="Calibri"/>
      <sz val="11.0"/>
      <color rgb="FFFFFF"/>
      <u val="none"/>
    </font>
    <font>
      <name val="Calibri"/>
      <sz val="13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000000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b val="true"/>
    </font>
    <font>
      <name val="Calibri"/>
      <sz val="11.0"/>
      <color rgb="0000FF"/>
      <b val="true"/>
    </font>
    <font>
      <name val="Calibri"/>
      <sz val="11.0"/>
      <i val="true"/>
    </font>
  </fonts>
  <fills count="10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2"/>
        <bgColor indexed="26"/>
      </patternFill>
    </fill>
    <fill>
      <patternFill patternType="solid">
        <fgColor theme="0"/>
        <bgColor theme="0"/>
      </patternFill>
    </fill>
    <fill>
      <patternFill patternType="solid">
        <fgColor rgb="FFF2F2F2"/>
      </patternFill>
    </fill>
    <fill>
      <patternFill patternType="solid">
        <fgColor theme="8" tint="0.79998168889431442"/>
        <bgColor rgb="FFD8EBF6"/>
      </patternFill>
    </fill>
    <fill>
      <patternFill patternType="solid">
        <fgColor rgb="FF094A74"/>
        <bgColor rgb="FF094A74"/>
      </patternFill>
    </fill>
    <fill>
      <patternFill patternType="solid">
        <fgColor rgb="FFFFCC99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000000"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8FBD1"/>
        <bgColor indexed="26"/>
      </patternFill>
    </fill>
    <fill>
      <patternFill patternType="none">
        <bgColor indexed="64"/>
      </patternFill>
    </fill>
    <fill>
      <patternFill patternType="none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none">
        <fgColor rgb="FFF2F2F2"/>
      </patternFill>
    </fill>
    <fill>
      <patternFill patternType="solid">
        <fgColor rgb="FFF2F2F2"/>
      </patternFill>
    </fill>
    <fill>
      <patternFill patternType="none">
        <bgColor indexed="65"/>
      </patternFill>
    </fill>
    <fill>
      <patternFill patternType="none">
        <fgColor rgb="FF4F81BD" theme="4" tint="0.7999816888943144"/>
        <bgColor indexed="65"/>
      </patternFill>
    </fill>
    <fill>
      <patternFill patternType="solid">
        <fgColor rgb="4F81BD" theme="4" tint="0.7999816888943144"/>
        <bgColor indexed="65"/>
      </patternFill>
    </fill>
    <fill>
      <patternFill patternType="none">
        <fgColor rgb="FFC0504D" theme="5" tint="0.7999816888943144"/>
        <bgColor indexed="65"/>
      </patternFill>
    </fill>
    <fill>
      <patternFill patternType="solid">
        <fgColor rgb="C0504D" theme="5" tint="0.7999816888943144"/>
        <bgColor indexed="65"/>
      </patternFill>
    </fill>
    <fill>
      <patternFill patternType="none">
        <fgColor rgb="FF9BBB59" theme="6" tint="0.7999816888943144"/>
        <bgColor indexed="65"/>
      </patternFill>
    </fill>
    <fill>
      <patternFill patternType="solid">
        <fgColor rgb="9BBB59" theme="6" tint="0.7999816888943144"/>
        <bgColor indexed="65"/>
      </patternFill>
    </fill>
    <fill>
      <patternFill patternType="none">
        <fgColor rgb="FF8064A2" theme="7" tint="0.7999816888943144"/>
        <bgColor indexed="65"/>
      </patternFill>
    </fill>
    <fill>
      <patternFill patternType="solid">
        <fgColor rgb="8064A2" theme="7" tint="0.7999816888943144"/>
        <bgColor indexed="65"/>
      </patternFill>
    </fill>
    <fill>
      <patternFill patternType="none">
        <fgColor rgb="FF4BACC6" theme="8" tint="0.7999816888943144"/>
        <bgColor indexed="65"/>
      </patternFill>
    </fill>
    <fill>
      <patternFill patternType="solid">
        <fgColor rgb="4BACC6" theme="8" tint="0.7999816888943144"/>
        <bgColor indexed="65"/>
      </patternFill>
    </fill>
    <fill>
      <patternFill patternType="none">
        <fgColor rgb="FFA5A5A5"/>
      </patternFill>
    </fill>
    <fill>
      <patternFill patternType="solid">
        <fgColor rgb="FFA5A5A5"/>
      </patternFill>
    </fill>
    <fill>
      <patternFill patternType="none">
        <fgColor rgb="FFF79646" theme="9"/>
      </patternFill>
    </fill>
    <fill>
      <patternFill patternType="solid">
        <fgColor rgb="F79646" theme="9"/>
      </patternFill>
    </fill>
    <fill>
      <patternFill patternType="none">
        <fgColor rgb="FF4BACC6" theme="8"/>
      </patternFill>
    </fill>
    <fill>
      <patternFill patternType="solid">
        <fgColor rgb="4BACC6" theme="8"/>
      </patternFill>
    </fill>
    <fill>
      <patternFill patternType="none">
        <fgColor rgb="FF8064A2" theme="7"/>
      </patternFill>
    </fill>
    <fill>
      <patternFill patternType="solid">
        <fgColor rgb="8064A2" theme="7"/>
      </patternFill>
    </fill>
    <fill>
      <patternFill patternType="none">
        <fgColor rgb="FFFFEB9C"/>
      </patternFill>
    </fill>
    <fill>
      <patternFill patternType="solid">
        <fgColor rgb="FFFFEB9C"/>
      </patternFill>
    </fill>
    <fill>
      <patternFill patternType="none">
        <fgColor rgb="FF9BBB59" theme="6"/>
      </patternFill>
    </fill>
    <fill>
      <patternFill patternType="solid">
        <fgColor rgb="9BBB59" theme="6"/>
      </patternFill>
    </fill>
    <fill>
      <patternFill patternType="none">
        <fgColor rgb="FFC0504D" theme="5"/>
      </patternFill>
    </fill>
    <fill>
      <patternFill patternType="solid">
        <fgColor rgb="C0504D" theme="5"/>
      </patternFill>
    </fill>
    <fill>
      <patternFill patternType="none">
        <fgColor rgb="FF4F81BD" theme="4"/>
      </patternFill>
    </fill>
    <fill>
      <patternFill patternType="solid">
        <fgColor rgb="4F81BD" theme="4"/>
      </patternFill>
    </fill>
    <fill>
      <patternFill patternType="none">
        <fgColor rgb="FFF79646" theme="9" tint="0.7999816888943144"/>
        <bgColor indexed="65"/>
      </patternFill>
    </fill>
    <fill>
      <patternFill patternType="solid">
        <fgColor rgb="F79646" theme="9" tint="0.7999816888943144"/>
        <bgColor indexed="65"/>
      </patternFill>
    </fill>
    <fill>
      <patternFill patternType="none">
        <fgColor rgb="FFC6EFCE"/>
      </patternFill>
    </fill>
    <fill>
      <patternFill patternType="solid">
        <fgColor rgb="FFC6EFCE"/>
      </patternFill>
    </fill>
    <fill>
      <patternFill patternType="none">
        <fgColor rgb="FFF8F8F2"/>
        <bgColor indexed="64"/>
      </patternFill>
    </fill>
    <fill>
      <patternFill patternType="solid">
        <fgColor rgb="FFF8F8F2"/>
        <bgColor indexed="64"/>
      </patternFill>
    </fill>
    <fill>
      <patternFill patternType="none">
        <fgColor rgb="FF8064A2" theme="7" tint="0.3999755851924192"/>
        <bgColor indexed="65"/>
      </patternFill>
    </fill>
    <fill>
      <patternFill patternType="solid">
        <fgColor rgb="8064A2" theme="7" tint="0.3999755851924192"/>
        <bgColor indexed="65"/>
      </patternFill>
    </fill>
    <fill>
      <patternFill patternType="none">
        <fgColor rgb="FF4BACC6" theme="8" tint="0.3999755851924192"/>
        <bgColor indexed="65"/>
      </patternFill>
    </fill>
    <fill>
      <patternFill patternType="solid">
        <fgColor rgb="4BACC6" theme="8" tint="0.3999755851924192"/>
        <bgColor indexed="65"/>
      </patternFill>
    </fill>
    <fill>
      <patternFill patternType="none">
        <fgColor rgb="FFC0504D" theme="5" tint="0.3999755851924192"/>
        <bgColor indexed="65"/>
      </patternFill>
    </fill>
    <fill>
      <patternFill patternType="solid">
        <fgColor rgb="C0504D" theme="5" tint="0.3999755851924192"/>
        <bgColor indexed="65"/>
      </patternFill>
    </fill>
    <fill>
      <patternFill patternType="none">
        <fgColor rgb="FF9BBB59" theme="6" tint="0.3999755851924192"/>
        <bgColor indexed="65"/>
      </patternFill>
    </fill>
    <fill>
      <patternFill patternType="solid">
        <fgColor rgb="9BBB59" theme="6" tint="0.3999755851924192"/>
        <bgColor indexed="65"/>
      </patternFill>
    </fill>
    <fill>
      <patternFill patternType="none">
        <fgColor rgb="FF9BBB59" theme="6" tint="0.5999938962981048"/>
        <bgColor indexed="65"/>
      </patternFill>
    </fill>
    <fill>
      <patternFill patternType="solid">
        <fgColor rgb="9BBB59" theme="6" tint="0.5999938962981048"/>
        <bgColor indexed="65"/>
      </patternFill>
    </fill>
    <fill>
      <patternFill patternType="none">
        <fgColor rgb="FFC0504D" theme="5" tint="0.5999938962981048"/>
        <bgColor indexed="65"/>
      </patternFill>
    </fill>
    <fill>
      <patternFill patternType="solid">
        <fgColor rgb="C0504D" theme="5" tint="0.5999938962981048"/>
        <bgColor indexed="65"/>
      </patternFill>
    </fill>
    <fill>
      <patternFill patternType="none">
        <fgColor rgb="FFFFC7CE"/>
      </patternFill>
    </fill>
    <fill>
      <patternFill patternType="solid">
        <fgColor rgb="FFFFC7CE"/>
      </patternFill>
    </fill>
    <fill>
      <patternFill patternType="none">
        <fgColor rgb="FFF79646" theme="9" tint="0.3999755851924192"/>
        <bgColor indexed="65"/>
      </patternFill>
    </fill>
    <fill>
      <patternFill patternType="solid">
        <fgColor rgb="F79646" theme="9" tint="0.3999755851924192"/>
        <bgColor indexed="65"/>
      </patternFill>
    </fill>
    <fill>
      <patternFill patternType="none">
        <fgColor rgb="FF4F81BD" theme="4" tint="0.5999938962981048"/>
        <bgColor indexed="65"/>
      </patternFill>
    </fill>
    <fill>
      <patternFill patternType="solid">
        <fgColor rgb="4F81BD" theme="4" tint="0.5999938962981048"/>
        <bgColor indexed="65"/>
      </patternFill>
    </fill>
    <fill>
      <patternFill/>
    </fill>
    <fill>
      <patternFill patternType="none">
        <fgColor rgb="FFFFCC99"/>
      </patternFill>
    </fill>
    <fill>
      <patternFill patternType="solid">
        <fgColor rgb="FFFFCC99"/>
      </patternFill>
    </fill>
    <fill>
      <patternFill patternType="none">
        <fgColor rgb="FFFFFFFF" theme="0"/>
        <bgColor indexed="64"/>
      </patternFill>
    </fill>
    <fill>
      <patternFill patternType="solid">
        <fgColor rgb="000000" theme="0"/>
        <bgColor indexed="64"/>
      </patternFill>
    </fill>
    <fill>
      <patternFill patternType="none">
        <fgColor rgb="FFFFFFCC"/>
      </patternFill>
    </fill>
    <fill>
      <patternFill patternType="solid">
        <fgColor rgb="FFFFFFCC"/>
      </patternFill>
    </fill>
    <fill>
      <patternFill patternType="none">
        <fgColor rgb="FF8064A2" theme="7" tint="0.5999938962981048"/>
        <bgColor indexed="65"/>
      </patternFill>
    </fill>
    <fill>
      <patternFill patternType="solid">
        <fgColor rgb="8064A2" theme="7" tint="0.5999938962981048"/>
        <bgColor indexed="65"/>
      </patternFill>
    </fill>
    <fill>
      <patternFill patternType="none">
        <fgColor rgb="FF4BACC6" theme="8" tint="0.5999938962981048"/>
        <bgColor indexed="65"/>
      </patternFill>
    </fill>
    <fill>
      <patternFill patternType="solid">
        <fgColor rgb="4BACC6" theme="8" tint="0.5999938962981048"/>
        <bgColor indexed="65"/>
      </patternFill>
    </fill>
    <fill>
      <patternFill patternType="none">
        <fgColor rgb="FFF79646" theme="9" tint="0.5999938962981048"/>
        <bgColor indexed="65"/>
      </patternFill>
    </fill>
    <fill>
      <patternFill patternType="solid">
        <fgColor rgb="F79646" theme="9" tint="0.5999938962981048"/>
        <bgColor indexed="65"/>
      </patternFill>
    </fill>
    <fill>
      <patternFill patternType="none">
        <fgColor rgb="FF4F81BD" theme="4" tint="0.3999755851924192"/>
        <bgColor indexed="65"/>
      </patternFill>
    </fill>
    <fill>
      <patternFill patternType="solid">
        <fgColor rgb="4F81BD" theme="4" tint="0.3999755851924192"/>
        <bgColor indexed="65"/>
      </patternFill>
    </fill>
    <fill>
      <patternFill patternType="solid">
        <fgColor rgb="000000" theme="0"/>
        <bgColor indexed="64"/>
      </patternFill>
    </fill>
  </fills>
  <borders count="102">
    <border>
      <left/>
      <right/>
      <top/>
      <bottom/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  <diagonal/>
    </border>
    <border>
      <left/>
      <right/>
      <top/>
      <bottom style="medium">
        <color rgb="FF094A7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rgb="1F497D"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rgb="000000" theme="0"/>
      </left>
      <right style="thin">
        <color rgb="000000" theme="0"/>
      </right>
      <top/>
      <bottom style="thick">
        <color rgb="1F497D" theme="3"/>
      </bottom>
      <diagonal/>
    </border>
    <border>
      <left/>
      <right/>
      <top/>
      <bottom style="double">
        <color rgb="1F497D"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ck">
        <color rgb="1F497D" theme="3"/>
      </bottom>
      <diagonal/>
    </border>
    <border>
      <left style="thin">
        <color rgb="000000" theme="0"/>
      </left>
      <right style="thin">
        <color rgb="000000" theme="0"/>
      </right>
      <top/>
      <bottom/>
      <diagonal/>
    </border>
    <border>
      <left style="thin">
        <color rgb="000000" theme="0"/>
      </left>
      <right/>
      <top/>
      <bottom style="thick">
        <color rgb="1F497D" theme="3"/>
      </bottom>
      <diagonal/>
    </border>
    <border>
      <left/>
      <right style="thin">
        <color rgb="000000" theme="0"/>
      </right>
      <top/>
      <bottom style="thick">
        <color rgb="1F497D" theme="3"/>
      </bottom>
      <diagonal/>
    </border>
    <border>
      <left style="thin">
        <color rgb="000000" theme="0"/>
      </left>
      <right/>
      <top/>
      <bottom/>
      <diagonal/>
    </border>
    <border>
      <left/>
      <right style="thin">
        <color rgb="000000" theme="0"/>
      </right>
      <top/>
      <bottom/>
      <diagonal/>
    </border>
    <border>
      <left/>
      <right/>
      <top/>
      <bottom style="medium">
        <color theme="3" tint="0.79998168889431442"/>
      </bottom>
      <diagonal/>
    </border>
    <border>
      <bottom style="double"/>
    </border>
    <border>
      <bottom style="double">
        <color rgb="1F497D" theme="3" tint="0.7999816888943144"/>
      </bottom>
    </border>
    <border>
      <bottom style="thin"/>
    </border>
    <border>
      <bottom style="thin">
        <color rgb="1F497D" theme="3" tint="0.7999816888943144"/>
      </bottom>
    </border>
    <border>
      <top style="thin"/>
    </border>
    <border>
      <top style="thin">
        <color rgb="FF3F3F3F"/>
      </top>
    </border>
    <border>
      <top style="thin">
        <color rgb="FF3F3F3F"/>
      </top>
      <bottom style="thin"/>
    </border>
    <border>
      <top style="thin">
        <color rgb="FF3F3F3F"/>
      </top>
      <bottom style="thin">
        <color rgb="FF3F3F3F"/>
      </bottom>
    </border>
    <border>
      <left style="thin"/>
      <top style="thin">
        <color rgb="FF3F3F3F"/>
      </top>
      <bottom style="thin">
        <color rgb="FF3F3F3F"/>
      </bottom>
    </border>
    <border>
      <left style="thin">
        <color rgb="FF3F3F3F"/>
      </left>
      <top style="thin">
        <color rgb="FF3F3F3F"/>
      </top>
      <bottom style="thin">
        <color rgb="FF3F3F3F"/>
      </bottom>
    </border>
    <border>
      <left style="thin">
        <color rgb="FF3F3F3F"/>
      </left>
      <right style="thin"/>
      <top style="thin">
        <color rgb="FF3F3F3F"/>
      </top>
      <bottom style="thin">
        <color rgb="FF3F3F3F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top style="double"/>
    </border>
    <border>
      <top style="double">
        <color rgb="FF3F3F3F"/>
      </top>
    </border>
    <border>
      <top style="double">
        <color rgb="FF3F3F3F"/>
      </top>
      <bottom style="double"/>
    </border>
    <border>
      <top style="double">
        <color rgb="FF3F3F3F"/>
      </top>
      <bottom style="double">
        <color rgb="FF3F3F3F"/>
      </bottom>
    </border>
    <border>
      <left style="double"/>
      <top style="double">
        <color rgb="FF3F3F3F"/>
      </top>
      <bottom style="double">
        <color rgb="FF3F3F3F"/>
      </bottom>
    </border>
    <border>
      <left style="double">
        <color rgb="FF3F3F3F"/>
      </left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/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bottom style="thick"/>
    </border>
    <border>
      <bottom style="thick">
        <color rgb="1F497D" theme="3"/>
      </bottom>
    </border>
    <border>
      <top style="thin">
        <color rgb="FF7F7F7F"/>
      </top>
    </border>
    <border>
      <top style="thin">
        <color rgb="FF7F7F7F"/>
      </top>
      <bottom style="thin"/>
    </border>
    <border>
      <top style="thin">
        <color rgb="FF7F7F7F"/>
      </top>
      <bottom style="thin">
        <color rgb="FF7F7F7F"/>
      </bottom>
    </border>
    <border>
      <left style="thin"/>
      <top style="thin">
        <color rgb="FF7F7F7F"/>
      </top>
      <bottom style="thin">
        <color rgb="FF7F7F7F"/>
      </bottom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left style="thin">
        <color rgb="FF7F7F7F"/>
      </left>
      <right style="thin"/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bottom style="thick">
        <color rgb="FF1F497D" theme="3"/>
      </bottom>
    </border>
    <border>
      <left style="thin">
        <color rgb="FFFFFFFF" theme="0"/>
      </left>
      <bottom style="thick">
        <color rgb="FF1F497D" theme="3"/>
      </bottom>
    </border>
    <border>
      <left style="thin">
        <color rgb="FFFFFFFF" theme="0"/>
      </left>
      <right style="thin"/>
      <bottom style="thick">
        <color rgb="FF1F497D" theme="3"/>
      </bottom>
    </border>
    <border>
      <left style="thin">
        <color rgb="000000" theme="0"/>
      </left>
      <right style="thin">
        <color rgb="000000" theme="0"/>
      </right>
      <bottom style="thick">
        <color rgb="1F497D" theme="3"/>
      </bottom>
    </border>
    <border>
      <bottom style="thick">
        <color rgb="FF000000" theme="1" tint="0.499984740745262"/>
      </bottom>
    </border>
    <border>
      <left style="thin"/>
      <bottom style="thick">
        <color rgb="FF000000" theme="1" tint="0.499984740745262"/>
      </bottom>
    </border>
    <border>
      <left style="thin">
        <color rgb="FFFFFFFF" theme="0"/>
      </left>
      <bottom style="thick">
        <color rgb="FF000000" theme="1" tint="0.499984740745262"/>
      </bottom>
    </border>
    <border>
      <left style="thin">
        <color rgb="FFFFFFFF" theme="0"/>
      </left>
      <right style="thin"/>
      <bottom style="thick">
        <color rgb="FF000000" theme="1" tint="0.499984740745262"/>
      </bottom>
    </border>
    <border>
      <left style="thin">
        <color rgb="000000" theme="0"/>
      </left>
      <right style="thin">
        <color rgb="000000" theme="0"/>
      </right>
      <bottom style="thick">
        <color rgb="FFFFFF" theme="1" tint="0.499984740745262"/>
      </bottom>
    </border>
    <border>
      <bottom style="thick">
        <color rgb="1F497D" theme="3" tint="0.3999450666829432"/>
      </bottom>
    </border>
    <border>
      <bottom style="medium"/>
    </border>
    <border>
      <bottom style="medium">
        <color rgb="1F497D" theme="3"/>
      </bottom>
    </border>
    <border>
      <top style="thin">
        <color rgb="FFFFFFFF" theme="0"/>
      </top>
    </border>
    <border>
      <top style="thin">
        <color rgb="FFFFFFFF" theme="0"/>
      </top>
      <bottom style="thin"/>
    </border>
    <border>
      <top style="thin">
        <color rgb="FFFFFFFF" theme="0"/>
      </top>
      <bottom style="thin">
        <color rgb="FFFFFFFF" theme="0"/>
      </bottom>
    </border>
    <border>
      <left style="thin"/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right style="thin"/>
      <top style="thin">
        <color rgb="FFFFFFFF" theme="0"/>
      </top>
      <bottom style="thin">
        <color rgb="FFFFFFFF" theme="0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</border>
    <border>
      <left style="thin"/>
      <bottom style="thin">
        <color rgb="FF1F497D" theme="3" tint="0.7999816888943144"/>
      </bottom>
    </border>
    <border>
      <left style="thin">
        <color rgb="FFFFFFFF" theme="0"/>
      </left>
      <bottom style="thin">
        <color rgb="FF1F497D" theme="3" tint="0.7999816888943144"/>
      </bottom>
    </border>
    <border>
      <left style="thin">
        <color rgb="FFFFFFFF" theme="0"/>
      </left>
      <right style="thin"/>
      <bottom style="thin">
        <color rgb="FF1F497D" theme="3" tint="0.7999816888943144"/>
      </bottom>
    </border>
    <border>
      <left style="thin">
        <color rgb="000000" theme="0"/>
      </left>
      <right style="thin">
        <color rgb="000000" theme="0"/>
      </right>
      <bottom style="thin">
        <color rgb="1F497D" theme="3" tint="0.7999816888943144"/>
      </bottom>
    </border>
    <border>
      <top style="thin">
        <color rgb="FFB2B2B2"/>
      </top>
    </border>
    <border>
      <top style="thin">
        <color rgb="FFB2B2B2"/>
      </top>
      <bottom style="thin"/>
    </border>
    <border>
      <top style="thin">
        <color rgb="FFB2B2B2"/>
      </top>
      <bottom style="thin">
        <color rgb="FFB2B2B2"/>
      </bottom>
    </border>
    <border>
      <left style="thin"/>
      <top style="thin">
        <color rgb="FFB2B2B2"/>
      </top>
      <bottom style="thin">
        <color rgb="FFB2B2B2"/>
      </bottom>
    </border>
    <border>
      <left style="thin">
        <color rgb="FFB2B2B2"/>
      </left>
      <top style="thin">
        <color rgb="FFB2B2B2"/>
      </top>
      <bottom style="thin">
        <color rgb="FFB2B2B2"/>
      </bottom>
    </border>
    <border>
      <left style="thin">
        <color rgb="FFB2B2B2"/>
      </left>
      <right style="thin"/>
      <top style="thin">
        <color rgb="FFB2B2B2"/>
      </top>
      <bottom style="thin">
        <color rgb="FFB2B2B2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bottom style="double">
        <color rgb="FFFF8001"/>
      </bottom>
    </border>
    <border>
      <bottom style="thick">
        <color rgb="4F81BD" theme="4"/>
      </bottom>
    </border>
    <border>
      <bottom style="medium">
        <color rgb="4F81BD" theme="4" tint="0.3999755851924192"/>
      </bottom>
    </border>
    <border>
      <bottom style="thick">
        <color rgb="4F81BD" theme="4" tint="0.499984740745262"/>
      </bottom>
    </border>
    <border>
      <top style="thin">
        <color rgb="FF4F81BD" theme="4"/>
      </top>
    </border>
    <border>
      <top style="thin">
        <color rgb="FF4F81BD" theme="4"/>
      </top>
      <bottom style="double"/>
    </border>
    <border>
      <top style="thin">
        <color rgb="4F81BD" theme="4"/>
      </top>
      <bottom style="double">
        <color rgb="4F81BD" theme="4"/>
      </bottom>
    </border>
    <border>
      <bottom style="thick">
        <color rgb="1F0000" theme="5" tint="0.2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000000" theme="0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thin">
        <color rgb="1F497D" theme="3" tint="0.7999816888943144"/>
      </bottom>
    </border>
    <border>
      <left style="thin">
        <color rgb="000000" theme="0"/>
      </left>
      <right style="thin">
        <color rgb="000000" theme="0"/>
      </right>
      <bottom style="thick">
        <color rgb="1F497D" theme="3"/>
      </bottom>
    </border>
    <border>
      <left style="thin">
        <color rgb="FFFFFFFF" theme="0"/>
      </left>
      <right style="thin">
        <color rgb="FFFFFFFF" theme="0"/>
      </right>
      <top style="thin"/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ck">
        <color rgb="FF1F497D" theme="3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n">
        <color rgb="FF1F497D" theme="3"/>
      </bottom>
    </border>
    <border>
      <bottom style="double">
        <color rgb="1F497D" theme="3" tint="0.7999816888943144"/>
      </bottom>
    </border>
    <border>
      <left style="thin">
        <color rgb="000000" theme="0"/>
      </left>
      <right style="thin">
        <color rgb="000000" theme="0"/>
      </right>
      <top style="thin">
        <color rgb="000000" theme="0"/>
      </top>
      <bottom style="double">
        <color rgb="1F497D" theme="3" tint="0.7999816888943144"/>
      </bottom>
    </border>
  </borders>
  <cellStyleXfs count="77">
    <xf applyAlignment="1" applyBorder="1" applyFill="1" applyFont="1" applyNumberFormat="1" applyProtection="1" borderId="0" fillId="0" fontId="0" numFmtId="0"/>
    <xf applyAlignment="0" applyBorder="0" applyFill="1" applyFont="0" applyNumberFormat="0" applyProtection="0" borderId="1" fillId="7" fontId="5" numFmtId="9">
      <alignment horizontal="center"/>
    </xf>
    <xf applyAlignment="0" applyBorder="1" applyFill="1" applyFont="1" applyNumberFormat="0" applyProtection="1" borderId="0" fillId="8" fontId="12" numFmtId="9">
      <alignment horizontal="center"/>
    </xf>
    <xf applyAlignment="1" applyBorder="1" applyFill="0" applyFont="1" applyNumberFormat="1" applyProtection="0" borderId="6" fillId="0" fontId="13" numFmtId="3">
      <alignment horizontal="right"/>
    </xf>
    <xf applyAlignment="0" applyBorder="0" applyFill="0" applyFont="1" applyNumberFormat="0" applyProtection="0" borderId="3" fillId="2" fontId="14" numFmtId="0">
      <alignment horizontal="center"/>
    </xf>
    <xf applyAlignment="0" applyBorder="1" applyFill="0" applyFont="0" applyNumberFormat="0" applyProtection="0" borderId="2" fillId="3" fontId="6" numFmtId="0"/>
    <xf applyAlignment="0" applyBorder="0" applyFill="0" applyFont="1" applyNumberFormat="0" applyProtection="0" borderId="3" fillId="4" fontId="15" numFmtId="9">
      <alignment horizontal="left" indent="2"/>
    </xf>
    <xf applyAlignment="0" applyBorder="0" applyFill="0" applyFont="1" applyNumberFormat="0" applyProtection="0" borderId="3" fillId="3" fontId="16" numFmtId="0"/>
    <xf applyAlignment="0" applyBorder="0" applyFill="1" applyFont="0" applyNumberFormat="0" applyProtection="0" borderId="4" fillId="10" fontId="3" numFmtId="3">
      <alignment horizontal="right"/>
    </xf>
    <xf applyAlignment="0" applyBorder="0" applyFill="1" applyFont="0" applyNumberFormat="0" applyProtection="0" borderId="3" fillId="3" fontId="7" numFmtId="0"/>
    <xf applyAlignment="1" applyBorder="1" applyFill="1" applyFont="1" applyNumberFormat="0" applyProtection="0" borderId="8" fillId="11" fontId="17" numFmtId="0">
      <alignment horizontal="center" vertical="center" wrapText="1"/>
    </xf>
    <xf applyAlignment="1" applyBorder="0" applyFill="0" applyFont="1" applyNumberFormat="0" applyProtection="0" borderId="1" fillId="7" fontId="18" numFmtId="0">
      <alignment horizontal="left" indent="2"/>
    </xf>
    <xf applyAlignment="1" applyBorder="0" applyFill="0" applyFont="0" applyNumberFormat="0" applyProtection="0" borderId="3" fillId="2" fontId="6" numFmtId="9">
      <alignment horizontal="left" indent="1"/>
    </xf>
    <xf applyAlignment="0" applyBorder="1" applyFill="1" applyFont="1" applyNumberFormat="0" applyProtection="0" borderId="7" fillId="12" fontId="19" numFmtId="0"/>
    <xf applyAlignment="1" applyBorder="1" applyFill="0" applyFont="1" applyNumberFormat="0" applyProtection="0" borderId="9" fillId="7" fontId="20" numFmtId="9"/>
    <xf applyAlignment="0" applyBorder="1" applyFill="1" applyFont="1" applyNumberFormat="0" applyProtection="0" borderId="10" fillId="9" fontId="21" numFmtId="0"/>
    <xf applyAlignment="0" applyBorder="0" applyFill="0" applyFont="0" applyNumberFormat="1" applyProtection="0" borderId="1" fillId="5" fontId="8" numFmtId="164">
      <alignment horizontal="center"/>
    </xf>
    <xf applyAlignment="0" applyBorder="0" applyFill="0" applyFont="0" applyNumberFormat="1" applyProtection="0" borderId="1" fillId="7" fontId="8" numFmtId="10">
      <alignment horizontal="center"/>
    </xf>
    <xf applyAlignment="0" applyBorder="0" applyFill="0" applyFont="0" applyNumberFormat="1" applyProtection="0" borderId="3" fillId="2" fontId="7" numFmtId="9">
      <alignment horizontal="center"/>
    </xf>
    <xf applyAlignment="1" applyBorder="1" applyFill="0" applyFont="1" applyNumberFormat="0" applyProtection="1" borderId="0" fillId="7" fontId="22" numFmtId="9">
      <alignment horizontal="left"/>
    </xf>
    <xf applyAlignment="0" applyBorder="0" applyFill="1" applyFont="0" applyNumberFormat="0" applyProtection="0" borderId="5" fillId="3" fontId="6" numFmtId="0"/>
    <xf applyAlignment="1" applyBorder="1" applyFill="0" applyFont="0" applyNumberFormat="0" applyProtection="0" borderId="11" fillId="6" fontId="9" numFmtId="3">
      <alignment horizontal="left"/>
    </xf>
    <xf applyAlignment="1" applyBorder="1" applyFill="1" applyFont="1" applyNumberFormat="0" applyProtection="1" borderId="2" fillId="13" fontId="14" numFmtId="0"/>
    <xf applyAlignment="0" applyBorder="0" applyFill="0" applyFont="1" applyNumberFormat="0" applyProtection="0" borderId="3" fillId="2" fontId="6" numFmtId="9">
      <alignment horizontal="center"/>
    </xf>
    <xf applyAlignment="1" applyBorder="0" applyFill="0" applyFont="1" applyNumberFormat="1" applyProtection="0" borderId="1" fillId="7" fontId="11" numFmtId="49">
      <alignment horizontal="left" wrapText="1"/>
    </xf>
    <xf applyAlignment="1" applyBorder="0" applyFill="0" applyFont="0" applyNumberFormat="0" applyProtection="0" borderId="1" fillId="7" fontId="8" numFmtId="9">
      <alignment horizontal="center"/>
    </xf>
    <xf applyAlignment="0" applyBorder="0" applyFill="0" applyFont="0" applyNumberFormat="1" applyProtection="1" borderId="0" fillId="0" fontId="1" numFmtId="167"/>
    <xf applyAlignment="0" applyBorder="0" applyFill="0" applyFont="0" applyNumberFormat="1" applyProtection="0" borderId="1" fillId="7" fontId="8" numFmtId="4">
      <alignment horizontal="center"/>
    </xf>
    <xf applyAlignment="0" applyBorder="0" applyFill="1" applyFont="1" applyNumberFormat="0" applyProtection="0" borderId="0" fillId="14" fontId="1" numFmtId="0"/>
    <xf applyAlignment="0" applyBorder="0" applyFill="1" applyFont="1" applyNumberFormat="0" applyProtection="0" borderId="0" fillId="15" fontId="1" numFmtId="0"/>
    <xf applyAlignment="0" applyBorder="0" applyFill="1" applyFont="1" applyNumberFormat="0" applyProtection="0" borderId="0" fillId="16" fontId="1" numFmtId="0"/>
    <xf applyAlignment="0" applyBorder="0" applyFill="1" applyFont="1" applyNumberFormat="0" applyProtection="0" borderId="0" fillId="17" fontId="1" numFmtId="0"/>
    <xf applyAlignment="0" applyBorder="0" applyFill="1" applyFont="1" applyNumberFormat="0" applyProtection="0" borderId="0" fillId="18" fontId="1" numFmtId="0"/>
    <xf applyAlignment="0" applyBorder="0" applyFill="1" applyFont="1" applyNumberFormat="0" applyProtection="0" borderId="0" fillId="19" fontId="1" numFmtId="0"/>
    <xf applyAlignment="0" applyBorder="0" applyFill="1" applyFont="1" applyNumberFormat="0" applyProtection="0" borderId="0" fillId="20" fontId="1" numFmtId="0"/>
    <xf applyAlignment="0" applyBorder="0" applyFill="1" applyFont="1" applyNumberFormat="0" applyProtection="0" borderId="0" fillId="21" fontId="1" numFmtId="0"/>
    <xf applyAlignment="0" applyBorder="0" applyFill="1" applyFont="1" applyNumberFormat="0" applyProtection="0" borderId="0" fillId="22" fontId="1" numFmtId="0"/>
    <xf applyAlignment="0" applyBorder="0" applyFill="1" applyFont="1" applyNumberFormat="0" applyProtection="0" borderId="0" fillId="23" fontId="1" numFmtId="0"/>
    <xf applyAlignment="0" applyBorder="0" applyFill="1" applyFont="1" applyNumberFormat="0" applyProtection="0" borderId="0" fillId="24" fontId="1" numFmtId="0"/>
    <xf applyAlignment="0" applyBorder="0" applyFill="1" applyFont="1" applyNumberFormat="0" applyProtection="0" borderId="0" fillId="25" fontId="1" numFmtId="0"/>
    <xf applyAlignment="0" applyBorder="0" applyFill="0" applyFont="0" applyNumberFormat="1" applyProtection="0" borderId="0" fillId="0" fontId="1" numFmtId="9"/>
    <xf applyAlignment="0" applyBorder="0" applyFill="0" applyFont="0" applyNumberFormat="1" applyProtection="1" borderId="0" fillId="0" fontId="1" numFmtId="10"/>
    <xf applyAlignment="1" applyBorder="1" applyFill="1" applyFont="1" applyNumberFormat="0" applyProtection="0" borderId="12" fillId="26" fontId="27" numFmtId="166">
      <alignment horizontal="center" vertical="center" wrapText="1"/>
    </xf>
    <xf applyAlignment="0" applyBorder="1" applyFill="0" applyFont="0" applyNumberFormat="0" applyProtection="1" borderId="13" fillId="0" fontId="1" numFmtId="9"/>
    <xf applyAlignment="1" applyBorder="1" applyFill="0" applyFont="1" applyNumberFormat="0" applyProtection="0" borderId="14" fillId="0" fontId="27" numFmtId="166">
      <alignment horizontal="center" vertical="center" wrapText="1"/>
    </xf>
    <xf applyAlignment="0" applyBorder="1" applyFill="1" applyFont="0" applyNumberFormat="0" applyProtection="1" borderId="15" fillId="26" fontId="1" numFmtId="166"/>
    <xf applyAlignment="1" applyBorder="1" applyFill="0" applyFont="1" applyNumberFormat="1" applyProtection="1" borderId="16" fillId="27" fontId="27" numFmtId="0">
      <alignment horizontal="center" vertical="center" wrapText="1"/>
    </xf>
    <xf applyAlignment="1" applyBorder="0" applyFill="0" applyFont="1" applyNumberFormat="0" applyProtection="0" borderId="0" fillId="0" fontId="28" numFmtId="166">
      <alignment horizontal="right"/>
    </xf>
    <xf applyAlignment="0" applyBorder="1" applyFill="0" applyFont="1" applyNumberFormat="0" applyProtection="1" borderId="15" fillId="0" fontId="27" numFmtId="0"/>
    <xf applyAlignment="1" applyBorder="0" applyFill="0" applyFont="1" applyNumberFormat="1" applyProtection="0" borderId="0" fillId="0" fontId="27" numFmtId="3">
      <alignment horizontal="right" vertical="center"/>
    </xf>
    <xf applyAlignment="1" applyBorder="0" applyFill="0" applyFont="1" applyNumberFormat="0" applyProtection="0" borderId="0" fillId="0" fontId="27" numFmtId="166">
      <alignment horizontal="left"/>
    </xf>
    <xf applyAlignment="1" applyBorder="0" applyFill="0" applyFont="1" applyNumberFormat="0" applyProtection="0" borderId="0" fillId="0" fontId="27" numFmtId="0">
      <alignment horizontal="right" vertical="center" wrapText="1"/>
    </xf>
    <xf applyAlignment="1" applyBorder="1" applyFill="1" applyFont="1" applyNumberFormat="0" applyProtection="1" borderId="17" fillId="28" fontId="28" numFmtId="166">
      <alignment horizontal="right"/>
    </xf>
    <xf applyAlignment="1" applyBorder="1" applyFill="1" applyFont="1" applyNumberFormat="1" applyProtection="1" borderId="17" fillId="28" fontId="28" numFmtId="49">
      <alignment horizontal="left"/>
    </xf>
    <xf applyAlignment="1" applyBorder="0" applyFill="0" applyFont="0" applyNumberFormat="0" applyProtection="0" borderId="0" fillId="0" fontId="1" numFmtId="9">
      <alignment horizontal="left" vertical="center" wrapText="1"/>
    </xf>
    <xf applyAlignment="0" applyBorder="0" applyFill="0" applyFont="1" applyNumberFormat="0" applyProtection="0" borderId="0" fillId="0" fontId="29" numFmtId="9"/>
    <xf applyAlignment="1" applyBorder="1" applyFill="0" applyFont="1" applyNumberFormat="0" applyProtection="1" borderId="13" fillId="0" fontId="27" numFmtId="0">
      <alignment horizontal="left" vertical="center"/>
    </xf>
    <xf applyAlignment="0" applyBorder="0" applyFill="0" applyFont="1" applyNumberFormat="0" applyProtection="1" borderId="0" fillId="0" fontId="31" numFmtId="9"/>
    <xf applyAlignment="1" applyBorder="0" applyFill="0" applyFont="0" applyNumberFormat="0" applyProtection="1" borderId="0" fillId="0" fontId="1" numFmtId="0">
      <alignment horizontal="center" vertical="center" wrapText="1"/>
    </xf>
    <xf applyAlignment="1" applyBorder="0" applyFill="1" applyFont="0" applyNumberFormat="0" applyProtection="0" borderId="0" fillId="28" fontId="1" numFmtId="9">
      <alignment horizontal="right" vertical="center"/>
    </xf>
    <xf applyAlignment="1" applyBorder="0" applyFill="1" applyFont="1" applyNumberFormat="0" applyProtection="0" borderId="0" fillId="28" fontId="27" numFmtId="9">
      <alignment horizontal="left" vertical="center" wrapText="1"/>
    </xf>
    <xf applyAlignment="0" applyBorder="0" applyFill="0" applyFont="1" applyNumberFormat="0" applyProtection="1" borderId="18" fillId="28" fontId="28" numFmtId="166"/>
    <xf applyAlignment="1" applyBorder="1" applyFill="0" applyFont="1" applyNumberFormat="0" applyProtection="1" borderId="19" fillId="0" fontId="28" numFmtId="9">
      <alignment horizontal="left"/>
    </xf>
    <xf applyAlignment="0" applyBorder="0" applyFill="0" applyFont="1" applyNumberFormat="0" applyProtection="1" borderId="0" fillId="0" fontId="31" numFmtId="9"/>
    <xf applyAlignment="1" applyBorder="1" applyFill="0" applyFont="1" applyNumberFormat="0" applyProtection="1" borderId="20" fillId="0" fontId="28" numFmtId="9"/>
    <xf applyAlignment="0" applyBorder="1" applyFill="1" applyFont="1" applyNumberFormat="0" applyProtection="1" borderId="8" fillId="29" fontId="29" numFmtId="9"/>
    <xf applyAlignment="0" applyBorder="0" applyFill="0" applyFont="1" applyNumberFormat="0" applyProtection="1" borderId="0" fillId="0" fontId="34" numFmtId="9"/>
    <xf applyAlignment="0" applyBorder="0" applyFill="0" applyFont="0" applyNumberFormat="1" applyProtection="1" borderId="0" fillId="0" fontId="1" numFmtId="164"/>
    <xf applyAlignment="0" applyBorder="0" applyFill="1" applyFont="0" applyNumberFormat="0" applyProtection="0" borderId="0" fillId="30" fontId="3" numFmtId="0"/>
    <xf applyAlignment="1" applyBorder="0" applyFill="0" applyFont="0" applyNumberFormat="0" applyProtection="0" borderId="1" fillId="7" fontId="8" numFmtId="9">
      <alignment horizontal="left" indent="1"/>
    </xf>
    <xf applyAlignment="1" applyBorder="0" applyFill="0" applyFont="0" applyNumberFormat="0" applyProtection="1" borderId="1" fillId="7" fontId="8" numFmtId="9">
      <alignment horizontal="left"/>
    </xf>
    <xf applyAlignment="1" applyBorder="0" applyFill="0" applyFont="0" applyNumberFormat="0" applyProtection="0" borderId="1" fillId="7" fontId="8" numFmtId="9">
      <alignment horizontal="right"/>
    </xf>
    <xf applyAlignment="1" applyBorder="1" applyFill="1" applyFont="1" applyNumberFormat="1" applyProtection="1" borderId="1" fillId="0" fontId="35" numFmtId="0">
      <alignment horizontal="center" vertical="center"/>
    </xf>
    <xf applyAlignment="0" applyBorder="0" applyFill="1" applyFont="0" applyNumberFormat="0" applyProtection="0" borderId="1" fillId="31" fontId="8" numFmtId="9">
      <alignment horizontal="center"/>
    </xf>
    <xf applyAlignment="0" applyBorder="0" applyFill="0" applyFont="0" applyNumberFormat="1" applyProtection="1" borderId="0" fillId="0" fontId="1" numFmtId="168"/>
    <xf applyAlignment="0" applyBorder="0" applyFill="0" applyFont="0" applyNumberFormat="1" applyProtection="1" borderId="0" fillId="0" fontId="1" numFmtId="169"/>
    <xf applyAlignment="1" applyBorder="0" applyFill="0" applyFont="1" applyNumberFormat="0" applyProtection="0" borderId="0" fillId="0" fontId="41" numFmtId="0">
      <alignment horizontal="right"/>
    </xf>
  </cellStyleXfs>
  <cellXfs count="178">
    <xf borderId="0" fillId="0" fontId="0" numFmtId="0" xfId="0"/>
    <xf applyProtection="1" borderId="0" fillId="0" fontId="0" numFmtId="0" xfId="0"/>
    <xf applyAlignment="1" applyBorder="1" applyFont="1" applyProtection="1" borderId="0" fillId="0" fontId="10" numFmtId="0" xfId="0"/>
    <xf applyAlignment="1" applyBorder="1" applyProtection="1" borderId="0" fillId="0" fontId="0" numFmtId="0" xfId="0"/>
    <xf applyAlignment="1" applyFont="1" applyProtection="1" borderId="0" fillId="0" fontId="4" numFmtId="0" xfId="0"/>
    <xf applyAlignment="1" applyProtection="1" borderId="0" fillId="0" fontId="0" numFmtId="0" xfId="0"/>
    <xf applyAlignment="1" applyProtection="1" borderId="0" fillId="0" fontId="0" numFmtId="0" quotePrefix="1" xfId="0"/>
    <xf applyAlignment="1" applyBorder="1" applyFont="1" applyNumberFormat="1" applyProtection="1" borderId="0" fillId="0" fontId="24" numFmtId="165" xfId="0"/>
    <xf applyFont="1" borderId="0" fillId="0" fontId="25" numFmtId="0" xfId="0"/>
    <xf applyFont="1" applyProtection="1" borderId="0" fillId="0" fontId="25" numFmtId="0" xfId="0"/>
    <xf applyAlignment="1" applyFont="1" borderId="0" fillId="0" fontId="26" numFmtId="0" xfId="0">
      <alignment horizontal="left"/>
    </xf>
    <xf applyFont="1" borderId="0" fillId="0" fontId="13" numFmtId="0" xfId="0"/>
    <xf applyFont="1" borderId="0" fillId="0" fontId="14" numFmtId="0" quotePrefix="1" xfId="0"/>
    <xf applyFont="1" borderId="0" fillId="0" fontId="14" numFmtId="0" xfId="0"/>
    <xf borderId="0" fillId="0" fontId="0" numFmtId="0" quotePrefix="1" xfId="0"/>
    <xf applyFill="1" borderId="16" fillId="0" fontId="27" numFmtId="0" quotePrefix="1" xfId="46">
      <alignment horizontal="center" vertical="center" wrapText="1"/>
    </xf>
    <xf applyAlignment="1" applyBorder="1" applyFill="1" applyFont="1" applyProtection="1" borderId="0" fillId="0" fontId="23" numFmtId="0" xfId="0"/>
    <xf applyAlignment="1" applyFont="1" applyNumberFormat="1" borderId="13" fillId="0" fontId="27" numFmtId="0" quotePrefix="1" xfId="43">
      <alignment horizontal="left"/>
    </xf>
    <xf applyAlignment="1" applyBorder="1" applyFont="1" applyProtection="1" borderId="0" fillId="0" fontId="30" numFmtId="0" quotePrefix="1" xfId="0"/>
    <xf applyBorder="1" borderId="13" fillId="0" fontId="27" numFmtId="3" xfId="49">
      <alignment horizontal="right" vertical="center"/>
    </xf>
    <xf applyAlignment="1" applyBorder="1" applyFont="1" applyProtection="1" borderId="0" fillId="0" fontId="32" numFmtId="0" quotePrefix="1" xfId="0"/>
    <xf applyNumberFormat="1" borderId="17" fillId="28" fontId="28" numFmtId="3" xfId="52">
      <alignment horizontal="right"/>
    </xf>
    <xf borderId="17" fillId="28" fontId="28" numFmtId="49" quotePrefix="1" xfId="53">
      <alignment horizontal="left"/>
    </xf>
    <xf applyBorder="1" applyFill="1" borderId="21" fillId="0" fontId="27" numFmtId="0" quotePrefix="1" xfId="46">
      <alignment horizontal="center" vertical="center" wrapText="1"/>
    </xf>
    <xf applyFill="1" borderId="16" fillId="0" fontId="27" numFmtId="0" xfId="46">
      <alignment horizontal="center" vertical="center" wrapText="1"/>
    </xf>
    <xf applyAlignment="1" applyNumberFormat="1" borderId="8" fillId="29" fontId="29" numFmtId="0" quotePrefix="1" xfId="65">
      <alignment horizontal="center" vertical="center" wrapText="1"/>
    </xf>
    <xf applyBorder="1" applyFill="1" borderId="13" fillId="29" fontId="27" numFmtId="3" xfId="49">
      <alignment horizontal="right" vertical="center"/>
    </xf>
    <xf borderId="0" fillId="0" fontId="0" numFmtId="0" xfId="0"/>
    <xf applyAlignment="1" applyBorder="1" applyFill="1" borderId="24" fillId="0" fontId="27" numFmtId="0" quotePrefix="1" xfId="46">
      <alignment horizontal="center" vertical="center" wrapText="1"/>
    </xf>
    <xf applyAlignment="1" applyBorder="1" applyFill="1" borderId="0" fillId="0" fontId="27" numFmtId="0" quotePrefix="1" xfId="46">
      <alignment horizontal="center" vertical="center" wrapText="1"/>
    </xf>
    <xf applyAlignment="1" applyBorder="1" applyFill="1" borderId="25" fillId="0" fontId="27" numFmtId="0" quotePrefix="1" xfId="46">
      <alignment horizontal="center" vertical="center" wrapText="1"/>
    </xf>
    <xf applyAlignment="1" borderId="0" fillId="0" fontId="0" numFmtId="0" xfId="0"/>
    <xf borderId="0" fillId="0" fontId="0" numFmtId="0" xfId="0"/>
    <xf applyAlignment="1" applyFont="1" applyProtection="1" borderId="0" fillId="0" fontId="36" numFmtId="0" xfId="0">
      <alignment horizontal="center"/>
    </xf>
    <xf applyAlignment="1" applyFont="1" applyNumberFormat="1" applyProtection="1" borderId="0" fillId="0" fontId="36" numFmtId="22" xfId="0">
      <alignment horizontal="center"/>
    </xf>
    <xf applyAlignment="1" applyProtection="1" borderId="0" fillId="0" fontId="0" numFmtId="0" xfId="0">
      <alignment horizontal="center"/>
    </xf>
    <xf applyProtection="1" borderId="0" fillId="0" fontId="0" numFmtId="0" quotePrefix="1" xfId="0"/>
    <xf applyAlignment="1" applyFont="1" applyProtection="1" borderId="0" fillId="0" fontId="3" numFmtId="0" quotePrefix="1" xfId="0">
      <alignment horizontal="center"/>
    </xf>
    <xf applyAlignment="1" applyFont="1" applyProtection="1" borderId="0" fillId="0" fontId="3" numFmtId="0" xfId="0">
      <alignment horizontal="center"/>
    </xf>
    <xf applyAlignment="1" borderId="0" fillId="0" fontId="0" numFmtId="0" xfId="0">
      <alignment horizontal="center"/>
    </xf>
    <xf applyFont="1" applyProtection="1" borderId="0" fillId="0" fontId="37" numFmtId="0" xfId="0"/>
    <xf applyFont="1" applyProtection="1" borderId="0" fillId="0" fontId="3" numFmtId="0" xfId="0"/>
    <xf applyAlignment="1" applyFont="1" applyProtection="1" borderId="0" fillId="0" fontId="30" numFmtId="0" quotePrefix="1" xfId="0">
      <alignment horizontal="center" vertical="center"/>
    </xf>
    <xf applyAlignment="1" applyFont="1" applyProtection="1" borderId="0" fillId="0" fontId="30" numFmtId="0" quotePrefix="1" xfId="0">
      <alignment vertical="center"/>
    </xf>
    <xf applyAlignment="1" applyBorder="1" applyFill="1" applyFont="1" borderId="0" fillId="0" fontId="38" numFmtId="0" xfId="11">
      <alignment horizontal="left"/>
    </xf>
    <xf applyAlignment="1" applyFont="1" applyProtection="1" borderId="0" fillId="0" fontId="39" numFmtId="0" quotePrefix="1" xfId="0">
      <alignment horizontal="left"/>
    </xf>
    <xf applyAlignment="1" applyFont="1" applyProtection="1" borderId="0" fillId="0" fontId="23" numFmtId="0" xfId="0">
      <alignment horizontal="centerContinuous" vertical="center"/>
    </xf>
    <xf applyAlignment="1" applyBorder="1" applyFill="1" applyFont="1" borderId="16" fillId="0" fontId="27" numFmtId="10" quotePrefix="1" xfId="41">
      <alignment horizontal="center" vertical="center" wrapText="1"/>
    </xf>
    <xf applyBorder="1" applyFill="1" borderId="0" fillId="0" fontId="0" numFmtId="0" quotePrefix="1" xfId="0"/>
    <xf applyAlignment="1" applyBorder="1" applyFont="1" borderId="13" fillId="0" fontId="27" numFmtId="10" xfId="41">
      <alignment horizontal="right" vertical="center"/>
    </xf>
    <xf applyBorder="1" applyFill="1" borderId="0" fillId="0" fontId="0" numFmtId="0" xfId="0"/>
    <xf applyBorder="1" applyFill="1" applyProtection="1" borderId="0" fillId="0" fontId="0" numFmtId="0" xfId="0"/>
    <xf applyBorder="1" applyFill="1" applyFont="1" applyProtection="1" borderId="0" fillId="0" fontId="13" numFmtId="0" xfId="0"/>
    <xf applyFont="1" applyProtection="1" borderId="0" fillId="0" fontId="13" numFmtId="0" xfId="0"/>
    <xf applyFont="1" applyProtection="1" borderId="0" fillId="0" fontId="14" numFmtId="0" quotePrefix="1" xfId="0"/>
    <xf applyFont="1" applyProtection="1" borderId="0" fillId="0" fontId="14" numFmtId="0" xfId="0"/>
    <xf applyAlignment="1" applyBorder="1" applyFont="1" applyNumberFormat="1" applyProtection="1" borderId="0" fillId="0" fontId="40" numFmtId="3" xfId="0">
      <alignment horizontal="right"/>
    </xf>
    <xf applyAlignment="1" applyNumberFormat="1" applyProtection="1" borderId="0" fillId="0" fontId="0" numFmtId="3" xfId="0">
      <alignment horizontal="center"/>
    </xf>
    <xf applyAlignment="1" applyBorder="1" applyFont="1" applyProtection="1" borderId="0" fillId="0" fontId="40" numFmtId="0" xfId="0">
      <alignment horizontal="right"/>
    </xf>
    <xf borderId="0" fillId="0" fontId="0" numFmtId="0" xfId="0"/>
    <xf applyBorder="1" applyFill="1" applyProtection="1" borderId="0" fillId="0" fontId="18" numFmtId="0" quotePrefix="1" xfId="11">
      <alignment horizontal="left" indent="2"/>
    </xf>
    <xf borderId="0" fillId="0" fontId="0" numFmtId="0" xfId="0"/>
    <xf applyBorder="1" applyFill="1" applyProtection="1" borderId="0" fillId="0" fontId="18" numFmtId="0" xfId="11">
      <alignment horizontal="left" indent="2"/>
    </xf>
    <xf applyAlignment="1" borderId="0" fillId="0" fontId="0" numFmtId="0" xfId="0"/>
    <xf applyAlignment="1" applyFont="1" applyNumberFormat="1" borderId="0" fillId="0" fontId="14" numFmtId="22" xfId="0">
      <alignment horizontal="left"/>
    </xf>
    <xf applyAlignment="1" applyFont="1" borderId="0" fillId="0" fontId="14" numFmtId="0" xfId="0">
      <alignment horizontal="left"/>
    </xf>
    <xf applyBorder="1" applyFill="1" borderId="0" fillId="0" fontId="18" numFmtId="0" xfId="11">
      <alignment horizontal="left" indent="2"/>
    </xf>
    <xf borderId="0" fillId="0" fontId="0" numFmtId="0" xfId="0"/>
    <xf applyAlignment="1" applyBorder="1" applyFont="1" applyProtection="1" borderId="0" fillId="0" fontId="33" numFmtId="0" quotePrefix="1" xfId="0">
      <alignment horizontal="left"/>
    </xf>
    <xf applyAlignment="1" applyBorder="1" applyFont="1" applyProtection="1" borderId="0" fillId="0" fontId="33" numFmtId="0" quotePrefix="1" xfId="0"/>
    <xf applyAlignment="1" applyBorder="1" applyFill="1" borderId="22" fillId="0" fontId="27" numFmtId="0" quotePrefix="1" xfId="46">
      <alignment horizontal="center" vertical="center" wrapText="1"/>
    </xf>
    <xf applyAlignment="1" applyBorder="1" applyFill="1" borderId="20" fillId="0" fontId="27" numFmtId="0" quotePrefix="1" xfId="46">
      <alignment horizontal="center" vertical="center" wrapText="1"/>
    </xf>
    <xf applyAlignment="1" applyBorder="1" applyFill="1" borderId="23" fillId="0" fontId="27" numFmtId="0" quotePrefix="1" xfId="46">
      <alignment horizontal="center" vertical="center" wrapText="1"/>
    </xf>
    <xf applyAlignment="1" applyFont="1" applyProtection="1" borderId="0" fillId="0" fontId="38" numFmtId="0" quotePrefix="1" xfId="0">
      <alignment horizontal="left"/>
    </xf>
    <xf applyAlignment="1" applyFont="1" applyNumberFormat="1" applyProtection="1" borderId="0" fillId="0" fontId="14" numFmtId="14" quotePrefix="1" xfId="0">
      <alignment horizontal="left"/>
    </xf>
    <xf applyBorder="true" applyFill="true" applyFont="true" applyNumberFormat="true" borderId="28" fillId="34" fontId="45" numFmtId="49" xfId="0">
      <alignment horizontal="left" indent="0" textRotation="0" vertical="bottom" wrapText="false"/>
      <protection hidden="false" locked="true"/>
    </xf>
    <xf applyFont="true" borderId="0" fillId="0" fontId="46" numFmtId="0" xfId="0">
      <protection hidden="false" locked="true"/>
    </xf>
    <xf borderId="0" fillId="0" fontId="0" numFmtId="0" xfId="0">
      <alignment horizontal="left" indent="2" textRotation="0" vertical="bottom" wrapText="false"/>
    </xf>
    <xf applyFont="true" borderId="0" fillId="0" fontId="47" numFmtId="0" xfId="0"/>
    <xf applyFill="true" applyFont="true" borderId="0" fillId="34" fontId="48" numFmtId="0" xfId="0">
      <alignment horizontal="left" indent="0" textRotation="0" vertical="center" wrapText="true"/>
    </xf>
    <xf applyBorder="true" applyFont="true" borderId="30" fillId="0" fontId="49" numFmtId="0" xfId="0">
      <alignment horizontal="left" indent="0" textRotation="0" vertical="center" wrapText="false"/>
      <protection hidden="false" locked="true"/>
    </xf>
    <xf applyBorder="true" applyFill="true" applyFont="true" borderId="38" fillId="36" fontId="50" numFmtId="0" xfId="0"/>
    <xf applyNumberFormat="true" borderId="0" fillId="0" fontId="0" numFmtId="164" xfId="0">
      <protection hidden="false" locked="true"/>
    </xf>
    <xf applyFill="true" applyFont="true" borderId="0" fillId="39" fontId="51" numFmtId="0" xfId="0"/>
    <xf applyFill="true" applyFont="true" borderId="0" fillId="41" fontId="52" numFmtId="0" xfId="0"/>
    <xf applyFill="true" applyFont="true" borderId="0" fillId="43" fontId="53" numFmtId="0" xfId="0"/>
    <xf applyFill="true" applyFont="true" borderId="0" fillId="45" fontId="54" numFmtId="0" xfId="0"/>
    <xf applyFill="true" applyFont="true" borderId="0" fillId="47" fontId="55" numFmtId="0" xfId="0"/>
    <xf applyBorder="true" applyFill="true" applyFont="true" borderId="46" fillId="49" fontId="56" numFmtId="0" xfId="0"/>
    <xf applyFont="true" borderId="0" fillId="0" fontId="57" numFmtId="0" xfId="0">
      <alignment horizontal="right" indent="0" textRotation="0" vertical="center" wrapText="true"/>
    </xf>
    <xf applyNumberFormat="true" borderId="0" fillId="0" fontId="0" numFmtId="167" xfId="0">
      <protection hidden="false" locked="true"/>
    </xf>
    <xf applyNumberFormat="true" borderId="0" fillId="0" fontId="0" numFmtId="9" xfId="0"/>
    <xf applyBorder="true" applyFont="true" borderId="48" fillId="0" fontId="58" numFmtId="0" xfId="0">
      <alignment horizontal="center" indent="0" textRotation="0" vertical="center" wrapText="true"/>
      <protection hidden="false" locked="true"/>
    </xf>
    <xf applyFont="true" borderId="0" fillId="0" fontId="59" numFmtId="0" xfId="0">
      <protection hidden="false" locked="true"/>
    </xf>
    <xf applyNumberFormat="true" borderId="0" fillId="0" fontId="0" numFmtId="168" xfId="0">
      <protection hidden="false" locked="true"/>
    </xf>
    <xf applyNumberFormat="true" borderId="0" fillId="0" fontId="0" numFmtId="171" xfId="0"/>
    <xf applyFont="true" borderId="0" fillId="0" fontId="60" numFmtId="0" xfId="0">
      <alignment horizontal="general" indent="0" textRotation="0" vertical="bottom" wrapText="false"/>
      <protection hidden="false" locked="true"/>
    </xf>
    <xf applyFill="true" applyFont="true" borderId="0" fillId="34" fontId="61" numFmtId="0" xfId="0">
      <alignment horizontal="right" indent="0" textRotation="0" vertical="center" wrapText="false"/>
      <protection hidden="false" locked="true"/>
    </xf>
    <xf applyFill="true" applyFont="true" borderId="0" fillId="51" fontId="62" numFmtId="0" xfId="0"/>
    <xf applyFill="true" applyFont="true" borderId="0" fillId="53" fontId="63" numFmtId="0" xfId="0"/>
    <xf applyFill="true" applyFont="true" borderId="0" fillId="55" fontId="64" numFmtId="0" xfId="0"/>
    <xf applyBorder="true" applyFill="true" applyFont="true" borderId="48" fillId="34" fontId="65" numFmtId="0" xfId="0">
      <alignment horizontal="center" indent="0" textRotation="0" vertical="center" wrapText="true"/>
      <protection hidden="false" locked="true"/>
    </xf>
    <xf applyFill="true" applyFont="true" borderId="0" fillId="57" fontId="66" numFmtId="0" xfId="0"/>
    <xf applyFill="true" applyFont="true" borderId="0" fillId="59" fontId="67" numFmtId="0" xfId="0"/>
    <xf applyBorder="true" applyFill="true" applyFont="true" borderId="55" fillId="36" fontId="68" numFmtId="0" xfId="0"/>
    <xf applyBorder="true" applyFill="true" applyFont="true" borderId="28" fillId="34" fontId="69" numFmtId="0" xfId="0">
      <alignment horizontal="right" indent="0" textRotation="0" vertical="bottom" wrapText="false"/>
      <protection hidden="false" locked="true"/>
    </xf>
    <xf applyFill="true" applyFont="true" borderId="0" fillId="61" fontId="70" numFmtId="0" xfId="0"/>
    <xf applyFill="true" applyFont="true" borderId="0" fillId="63" fontId="71" numFmtId="0" xfId="0"/>
    <xf applyFill="true" borderId="0" fillId="34" fontId="0" numFmtId="0" xfId="0">
      <alignment horizontal="right" indent="0" textRotation="0" vertical="center" wrapText="false"/>
    </xf>
    <xf applyFill="true" applyFont="true" borderId="0" fillId="65" fontId="72" numFmtId="0" xfId="0"/>
    <xf applyNumberFormat="true" borderId="0" fillId="0" fontId="0" numFmtId="172" xfId="0"/>
    <xf applyBorder="true" applyFont="true" borderId="48" fillId="0" fontId="73" numFmtId="0" xfId="0">
      <alignment horizontal="general" indent="0" textRotation="0" vertical="bottom" wrapText="false"/>
      <protection hidden="false" locked="true"/>
    </xf>
    <xf applyFont="true" borderId="0" fillId="0" fontId="74" numFmtId="0" xfId="0">
      <alignment horizontal="left" indent="0" textRotation="0" vertical="bottom" wrapText="false"/>
    </xf>
    <xf applyBorder="true" applyFont="true" applyNumberFormat="true" borderId="59" fillId="0" fontId="75" numFmtId="0" xfId="0">
      <alignment horizontal="center" indent="0" textRotation="0" vertical="center" wrapText="true"/>
      <protection hidden="false" locked="true"/>
    </xf>
    <xf applyFont="true" borderId="0" fillId="0" fontId="76" numFmtId="0" xfId="0"/>
    <xf applyBorder="true" applyFill="true" applyFont="true" borderId="30" fillId="34" fontId="77" numFmtId="0" xfId="0">
      <alignment horizontal="left" indent="0" textRotation="0" vertical="center" wrapText="true"/>
      <protection hidden="false" locked="true"/>
    </xf>
    <xf applyFill="true" applyFont="true" borderId="0" fillId="67" fontId="78" numFmtId="0" xfId="0"/>
    <xf applyBorder="true" applyFill="true" applyFont="true" borderId="64" fillId="69" fontId="79" numFmtId="0" xfId="0">
      <alignment horizontal="center" indent="0" textRotation="0" vertical="center" wrapText="true"/>
    </xf>
    <xf applyFont="true" borderId="0" fillId="0" fontId="80" numFmtId="0" xfId="0">
      <protection hidden="false" locked="true"/>
    </xf>
    <xf borderId="0" fillId="0" fontId="0" numFmtId="0" xfId="0">
      <alignment horizontal="center" indent="0" textRotation="0" vertical="center" wrapText="true"/>
      <protection hidden="false" locked="true"/>
    </xf>
    <xf applyNumberFormat="true" borderId="0" fillId="0" fontId="0" numFmtId="9" xfId="0"/>
    <xf applyFill="true" applyFont="true" borderId="0" fillId="71" fontId="81" numFmtId="0" xfId="0"/>
    <xf applyNumberFormat="true" borderId="0" fillId="0" fontId="0" numFmtId="173" xfId="0"/>
    <xf applyFill="true" applyFont="true" borderId="0" fillId="73" fontId="82" numFmtId="0" xfId="0"/>
    <xf applyFill="true" applyFont="true" borderId="0" fillId="75" fontId="83" numFmtId="0" xfId="0"/>
    <xf applyFill="true" applyFont="true" borderId="0" fillId="77" fontId="84" numFmtId="0" xfId="0"/>
    <xf applyFill="true" applyFont="true" borderId="0" fillId="79" fontId="85" numFmtId="0" xfId="0"/>
    <xf applyFont="true" applyNumberFormat="true" borderId="0" fillId="0" fontId="86" numFmtId="3" xfId="0">
      <alignment horizontal="right" indent="0" textRotation="0" vertical="center" wrapText="false"/>
    </xf>
    <xf applyFill="true" applyFont="true" borderId="0" fillId="81" fontId="87" numFmtId="0" xfId="0"/>
    <xf applyFill="true" applyFont="true" borderId="0" fillId="83" fontId="88" numFmtId="0" xfId="0"/>
    <xf applyFill="true" applyFont="true" borderId="0" fillId="85" fontId="89" numFmtId="0" xfId="0"/>
    <xf applyFill="true" applyFont="true" borderId="0" fillId="87" fontId="90" numFmtId="0" xfId="0"/>
    <xf applyNumberFormat="true" borderId="0" fillId="0" fontId="0" numFmtId="169" xfId="0">
      <protection hidden="false" locked="true"/>
    </xf>
    <xf applyBorder="true" applyFont="true" borderId="65" fillId="0" fontId="91" numFmtId="0" xfId="0">
      <alignment horizontal="center" indent="0" textRotation="0" vertical="center" wrapText="true"/>
    </xf>
    <xf applyBorder="true" borderId="30" fillId="0" fontId="0" numFmtId="0" xfId="0">
      <protection hidden="false" locked="true"/>
    </xf>
    <xf applyBorder="true" applyFont="true" borderId="67" fillId="0" fontId="92" numFmtId="0" xfId="0">
      <alignment horizontal="left" indent="0" textRotation="0" vertical="bottom" wrapText="false"/>
      <protection hidden="false" locked="true"/>
    </xf>
    <xf applyNumberFormat="true" borderId="0" fillId="0" fontId="0" numFmtId="10" xfId="0">
      <protection hidden="false" locked="true"/>
    </xf>
    <xf applyFill="true" applyFont="true" applyNumberFormat="true" borderId="0" fillId="88" fontId="93" numFmtId="0" xfId="0">
      <alignment horizontal="general" indent="0" textRotation="0" vertical="bottom" wrapText="false"/>
      <protection hidden="false" locked="true"/>
    </xf>
    <xf applyBorder="true" applyFill="true" applyFont="true" borderId="55" fillId="90" fontId="94" numFmtId="0" xfId="0"/>
    <xf applyFont="true" borderId="0" fillId="0" fontId="95" numFmtId="0" xfId="0">
      <protection hidden="false" locked="true"/>
    </xf>
    <xf applyFont="true" borderId="0" fillId="0" fontId="96" numFmtId="0" xfId="0">
      <alignment horizontal="right" indent="0" textRotation="0" vertical="bottom" wrapText="false"/>
    </xf>
    <xf applyBorder="true" applyFill="true" applyFont="true" borderId="74" fillId="92" fontId="97" numFmtId="0" xfId="0">
      <protection hidden="false" locked="true"/>
    </xf>
    <xf applyFont="true" borderId="0" fillId="0" fontId="98" numFmtId="0" xfId="0"/>
    <xf applyBorder="true" applyFont="true" borderId="78" fillId="0" fontId="99" numFmtId="0" xfId="0">
      <protection hidden="false" locked="true"/>
    </xf>
    <xf applyFont="true" borderId="0" fillId="0" fontId="100" numFmtId="0" xfId="0"/>
    <xf applyFont="true" borderId="0" fillId="0" fontId="101" numFmtId="0" xfId="0">
      <alignment horizontal="right" indent="0" textRotation="0" vertical="bottom" wrapText="false"/>
    </xf>
    <xf applyBorder="true" applyFill="true" borderId="85" fillId="94" fontId="0" numFmtId="0" xfId="0"/>
    <xf borderId="0" fillId="0" fontId="0" numFmtId="0" xfId="0">
      <alignment horizontal="left" indent="0" textRotation="0" vertical="center" wrapText="true"/>
    </xf>
    <xf applyBorder="true" applyFont="true" borderId="86" fillId="0" fontId="102" numFmtId="0" xfId="0"/>
    <xf applyFont="true" borderId="0" fillId="0" fontId="103" numFmtId="0" xfId="0"/>
    <xf applyFont="true" borderId="0" fillId="0" fontId="104" numFmtId="0" xfId="0">
      <alignment horizontal="left" indent="1" textRotation="0" vertical="bottom" wrapText="false"/>
    </xf>
    <xf applyBorder="true" applyFill="true" applyFont="true" borderId="30" fillId="34" fontId="105" numFmtId="0" xfId="0">
      <alignment horizontal="right" indent="0" textRotation="0" vertical="center" wrapText="false"/>
      <protection hidden="false" locked="true"/>
    </xf>
    <xf applyBorder="true" applyFont="true" borderId="87" fillId="0" fontId="106" numFmtId="0" xfId="0"/>
    <xf applyFill="true" applyFont="true" borderId="0" fillId="96" fontId="107" numFmtId="0" xfId="0"/>
    <xf applyBorder="true" applyFont="true" borderId="30" fillId="0" fontId="108" numFmtId="0" xfId="0">
      <alignment horizontal="right" indent="0" textRotation="0" vertical="center" wrapText="false"/>
    </xf>
    <xf applyFill="true" applyFont="true" borderId="0" fillId="98" fontId="109" numFmtId="0" xfId="0"/>
    <xf applyFill="true" applyFont="true" borderId="0" fillId="100" fontId="110" numFmtId="0" xfId="0"/>
    <xf applyFont="true" borderId="0" fillId="0" fontId="111" numFmtId="0" xfId="0">
      <protection hidden="false" locked="true"/>
    </xf>
    <xf applyFont="true" borderId="0" fillId="0" fontId="112" numFmtId="0" xfId="0"/>
    <xf applyBorder="true" applyFont="true" borderId="88" fillId="0" fontId="113" numFmtId="0" xfId="0"/>
    <xf applyFill="true" applyFont="true" borderId="0" fillId="102" fontId="114" numFmtId="0" xfId="0"/>
    <xf applyBorder="true" applyFont="true" borderId="89" fillId="0" fontId="115" numFmtId="0" xfId="0"/>
    <xf applyNumberFormat="true" borderId="0" fillId="0" fontId="0" numFmtId="174" xfId="0"/>
    <xf applyFont="true" borderId="0" fillId="0" fontId="116" numFmtId="0" xfId="0">
      <alignment horizontal="left" indent="0" textRotation="0" vertical="center" wrapText="false"/>
      <protection hidden="false" locked="true"/>
    </xf>
    <xf applyBorder="true" applyFill="true" borderId="78" fillId="69" fontId="0" numFmtId="0" xfId="0">
      <protection hidden="false" locked="true"/>
    </xf>
    <xf applyBorder="true" applyFont="true" borderId="92" fillId="0" fontId="117" numFmtId="0" xfId="0"/>
    <xf applyBorder="true" applyFont="true" applyNumberFormat="true" borderId="93" fillId="0" fontId="118" numFmtId="3" xfId="0">
      <alignment horizontal="right" indent="0" textRotation="0" vertical="center" wrapText="false"/>
      <protection hidden="false" locked="true"/>
    </xf>
    <xf applyBorder="true" applyFont="true" borderId="93" fillId="0" fontId="119" numFmtId="0" xfId="0">
      <alignment horizontal="left" indent="0" textRotation="0" vertical="bottom" wrapText="false"/>
      <protection hidden="false" locked="true"/>
    </xf>
    <xf applyBorder="true" applyFill="true" applyFont="true" applyNumberFormat="true" borderId="95" fillId="103" fontId="121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94" fillId="103" fontId="123" numFmtId="0" xfId="0">
      <alignment horizontal="center" indent="0" textRotation="0" vertical="center" wrapText="true"/>
      <protection hidden="false" locked="true"/>
    </xf>
    <xf applyBorder="true" applyFont="true" applyNumberFormat="true" borderId="93" fillId="0" fontId="125" numFmtId="3" xfId="0">
      <alignment horizontal="right" indent="0" textRotation="0" vertical="center" wrapText="false"/>
      <protection hidden="false" locked="true"/>
    </xf>
    <xf applyBorder="true" applyFont="true" borderId="93" fillId="0" fontId="127" numFmtId="0" xfId="0">
      <alignment horizontal="left" indent="0" textRotation="0" vertical="center" wrapText="false"/>
      <protection hidden="false" locked="true"/>
    </xf>
    <xf applyBorder="true" applyFill="true" applyFont="true" applyNumberFormat="true" borderId="100" fillId="34" fontId="130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101" fillId="34" fontId="134" numFmtId="3" xfId="0">
      <alignment horizontal="right" indent="0" textRotation="0" vertical="bottom" wrapText="false"/>
      <protection hidden="false" locked="true"/>
    </xf>
    <xf applyBorder="true" applyFill="true" applyFont="true" applyNumberFormat="true" borderId="95" fillId="103" fontId="137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100" fillId="34" fontId="140" numFmtId="49" xfId="0">
      <alignment horizontal="left" indent="0" textRotation="0" vertical="bottom" wrapText="false"/>
      <protection hidden="false" locked="true"/>
    </xf>
    <xf applyBorder="true" applyFont="true" applyNumberFormat="true" borderId="93" fillId="0" fontId="141" numFmtId="10" xfId="0">
      <alignment horizontal="right" indent="0" textRotation="0" vertical="center" wrapText="false"/>
      <protection hidden="false" locked="true"/>
    </xf>
    <xf applyBorder="true" applyFont="true" applyNumberFormat="true" borderId="96" fillId="0" fontId="142" numFmtId="10" xfId="0">
      <alignment horizontal="center" indent="0" textRotation="0" vertical="center" wrapText="true"/>
      <protection hidden="false" locked="true"/>
    </xf>
  </cellXfs>
  <cellStyles count="77">
    <cellStyle name="%0." xfId="40"/>
    <cellStyle name="%0.0" xfId="67"/>
    <cellStyle name="%0.00" xfId="41"/>
    <cellStyle builtinId="30" customBuiltin="1" name="20% - Accent1" xfId="28"/>
    <cellStyle builtinId="34" customBuiltin="1" name="20% - Accent2" xfId="30"/>
    <cellStyle builtinId="38" customBuiltin="1" name="20% - Accent3" xfId="32"/>
    <cellStyle builtinId="42" customBuiltin="1" name="20% - Accent4" xfId="34"/>
    <cellStyle builtinId="46" customBuiltin="1" name="20% - Accent5" xfId="36"/>
    <cellStyle builtinId="50" customBuiltin="1" name="20% - Accent6" xfId="38"/>
    <cellStyle name="20% - Colore 7" xfId="1"/>
    <cellStyle builtinId="31" customBuiltin="1" name="40% - Accent1" xfId="29"/>
    <cellStyle builtinId="35" customBuiltin="1" name="40% - Accent2" xfId="31"/>
    <cellStyle builtinId="39" customBuiltin="1" name="40% - Accent3" xfId="33"/>
    <cellStyle builtinId="43" customBuiltin="1" name="40% - Accent4" xfId="35"/>
    <cellStyle builtinId="47" customBuiltin="1" name="40% - Accent5" xfId="37"/>
    <cellStyle builtinId="51" customBuiltin="1" name="40% - Accent6" xfId="39"/>
    <cellStyle name="ACT" xfId="42"/>
    <cellStyle name="Amounts left nolocked" xfId="54"/>
    <cellStyle name="Amounts_Board" xfId="43"/>
    <cellStyle name="Amounts-1000" xfId="74"/>
    <cellStyle name="BDG" xfId="44"/>
    <cellStyle name="Blank" xfId="2"/>
    <cellStyle name="blue" xfId="68"/>
    <cellStyle name="Body" xfId="3"/>
    <cellStyle name="Bold" xfId="4"/>
    <cellStyle name="Border_total" xfId="5"/>
    <cellStyle name="C_Amount_ACT" xfId="45"/>
    <cellStyle name="C_Head" xfId="46"/>
    <cellStyle name="Data(USA)" xfId="75"/>
    <cellStyle name="Date" xfId="26"/>
    <cellStyle name="Font_big" xfId="6"/>
    <cellStyle name="Formula" xfId="47"/>
    <cellStyle name="formula2_fond" xfId="7"/>
    <cellStyle name="Formula3" xfId="8"/>
    <cellStyle name="FST description blank" xfId="55"/>
    <cellStyle name="Group_Color" xfId="9"/>
    <cellStyle name="Head_left" xfId="56"/>
    <cellStyle name="Header" xfId="10"/>
    <cellStyle builtinId="8" customBuiltin="1" name="Hyperlink" xfId="11"/>
    <cellStyle name="Hyperlink for amounts" xfId="63"/>
    <cellStyle name="Hyperlnk row header underlined bold" xfId="57"/>
    <cellStyle name="Indent_1" xfId="12"/>
    <cellStyle builtinId="20" customBuiltin="1" name="Input" xfId="13"/>
    <cellStyle name="Left_align" xfId="69"/>
    <cellStyle name="Matrix_Title" xfId="14"/>
    <cellStyle name="Middle Headers Centered" xfId="58"/>
    <cellStyle name="Noindent" xfId="70"/>
    <cellStyle builtinId="0" customBuiltin="1" name="Normal" xfId="0"/>
    <cellStyle name="Num 2 decimal" xfId="27"/>
    <cellStyle builtinId="21" customBuiltin="1" name="Output" xfId="15"/>
    <cellStyle name="Perc 1 decimal" xfId="16"/>
    <cellStyle name="Perc 2 decimal" xfId="17"/>
    <cellStyle name="Percentage" xfId="18"/>
    <cellStyle name="Place_header" xfId="19"/>
    <cellStyle name="Placeholder" xfId="48"/>
    <cellStyle name="Placeholder Header Underlined bold" xfId="64"/>
    <cellStyle name="Placeholder_column_blank" xfId="65"/>
    <cellStyle name="prova colore" xfId="20"/>
    <cellStyle name="R_Area_font" xfId="49"/>
    <cellStyle name="R_formula" xfId="50"/>
    <cellStyle name="R_head_font" xfId="51"/>
    <cellStyle name="Right_align" xfId="71"/>
    <cellStyle name="Row Header" xfId="21"/>
    <cellStyle name="Status" xfId="72"/>
    <cellStyle name="Status Check" xfId="66"/>
    <cellStyle name="Subtotal" xfId="22"/>
    <cellStyle name="Subtotal Amounts row fill" xfId="59"/>
    <cellStyle name="Subtotal head row fill" xfId="60"/>
    <cellStyle name="Subtotal_amounts" xfId="61"/>
    <cellStyle name="test" xfId="23"/>
    <cellStyle name="Text" xfId="24"/>
    <cellStyle name="TGK_TOC_PAGE_COLUMN" xfId="76"/>
    <cellStyle name="Total_amounts" xfId="52"/>
    <cellStyle name="Total_head" xfId="53"/>
    <cellStyle name="Work new book placeholder header underlined" xfId="62"/>
    <cellStyle name="Wrap_text" xfId="25"/>
    <cellStyle name="yellow" xfId="73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9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openxmlformats.org/officeDocument/2006/relationships/calcChain" Target="calcChain.xml"/>
  <Relationship Id="rId8" Type="http://schemas.openxmlformats.org/officeDocument/2006/relationships/customXml" Target="../customXml/item1.xml"/>
  <Relationship Id="rId9" Type="http://schemas.microsoft.com/office/2006/relationships/vbaProject" Target="vbaProject.bin"/>
</Relationships>
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_rels/drawing2.xml.rels><?xml version="1.0" encoding="UTF-8"?>

<Relationships xmlns="http://schemas.openxmlformats.org/package/2006/relationships">
  <Relationship Id="rId1" Type="http://schemas.openxmlformats.org/officeDocument/2006/relationships/image" Target="../media/image1.PNG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66675</xdr:rowOff>
    </xdr:from>
    <xdr:to>
      <xdr:col>2</xdr:col>
      <xdr:colOff>914400</xdr:colOff>
      <xdr:row>4</xdr:row>
      <xdr:rowOff>13400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675"/>
          <a:ext cx="914400" cy="232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</xdr:colOff>
      <xdr:row>0</xdr:row>
      <xdr:rowOff>76199</xdr:rowOff>
    </xdr:from>
    <xdr:to>
      <xdr:col>2</xdr:col>
      <xdr:colOff>28576</xdr:colOff>
      <xdr:row>2</xdr:row>
      <xdr:rowOff>213262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" y="76199"/>
          <a:ext cx="913766" cy="232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customProperty" Target="../customProperty1.bin"/>
  <Relationship Id="rId3" Type="http://schemas.openxmlformats.org/officeDocument/2006/relationships/drawing" Target="../drawings/drawing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2.bin"/>
  <Relationship Id="rId2" Type="http://schemas.openxmlformats.org/officeDocument/2006/relationships/customProperty" Target="../customProperty2.bin"/>
  <Relationship Id="rId3" Type="http://schemas.openxmlformats.org/officeDocument/2006/relationships/drawing" Target="../drawings/drawing2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/>
  </sheetViews>
  <sheetFormatPr defaultRowHeight="15" x14ac:dyDescent="0.25"/>
  <sheetData>
    <row r="1" spans="1:2" x14ac:dyDescent="0.25">
      <c r="A1" t="s" s="75">
        <v>32</v>
      </c>
      <c r="B1" t="str" s="76">
        <f>'Product Quantity'!B65538</f>
        <v>Blank_Row</v>
      </c>
      <c r="C1" t="s" s="77">
        <v>33</v>
      </c>
      <c r="D1" t="s" s="78">
        <v>34</v>
      </c>
      <c r="E1" t="s" s="79">
        <v>35</v>
      </c>
      <c r="F1" t="s" s="80">
        <v>36</v>
      </c>
      <c r="G1" t="s" s="81">
        <v>37</v>
      </c>
      <c r="H1" t="s" s="82">
        <v>38</v>
      </c>
      <c r="I1" t="s" s="83">
        <v>39</v>
      </c>
      <c r="J1" t="s" s="84">
        <v>40</v>
      </c>
      <c r="K1" t="s" s="85">
        <v>41</v>
      </c>
      <c r="L1" t="s" s="86">
        <v>42</v>
      </c>
      <c r="M1" t="s" s="87">
        <v>43</v>
      </c>
      <c r="N1" t="s" s="88">
        <v>44</v>
      </c>
      <c r="O1" t="s" s="89">
        <v>45</v>
      </c>
      <c r="P1" t="s" s="90">
        <v>46</v>
      </c>
      <c r="Q1" t="s" s="91">
        <v>47</v>
      </c>
      <c r="R1" t="s" s="92">
        <v>48</v>
      </c>
      <c r="S1" t="s" s="93">
        <v>49</v>
      </c>
      <c r="T1" t="s" s="94">
        <v>50</v>
      </c>
      <c r="U1" t="s" s="95">
        <v>51</v>
      </c>
      <c r="V1" t="s" s="96">
        <v>52</v>
      </c>
      <c r="W1" t="s" s="97">
        <v>53</v>
      </c>
      <c r="X1" t="s" s="98">
        <v>54</v>
      </c>
      <c r="Y1" t="s" s="99">
        <v>55</v>
      </c>
      <c r="Z1" t="s" s="100">
        <v>56</v>
      </c>
      <c r="AA1" t="s" s="101">
        <v>57</v>
      </c>
      <c r="AB1" t="s" s="102">
        <v>58</v>
      </c>
      <c r="AC1" t="s" s="103">
        <v>59</v>
      </c>
      <c r="AD1" t="s" s="104">
        <v>60</v>
      </c>
      <c r="AE1" t="s" s="105">
        <v>61</v>
      </c>
      <c r="AF1" t="s" s="106">
        <v>62</v>
      </c>
      <c r="AG1" t="s" s="107">
        <v>63</v>
      </c>
      <c r="AH1" t="s" s="108">
        <v>64</v>
      </c>
      <c r="AI1" t="s" s="109">
        <v>65</v>
      </c>
      <c r="AJ1" t="s" s="110">
        <v>66</v>
      </c>
      <c r="AK1" t="s" s="111">
        <v>67</v>
      </c>
      <c r="AL1" t="s" s="112">
        <v>68</v>
      </c>
      <c r="AM1" t="s" s="113">
        <v>69</v>
      </c>
      <c r="AN1" t="s" s="114">
        <v>70</v>
      </c>
      <c r="AO1" t="s" s="115">
        <v>71</v>
      </c>
      <c r="AP1" t="s" s="116">
        <v>72</v>
      </c>
      <c r="AQ1" t="s" s="117">
        <v>73</v>
      </c>
      <c r="AR1" t="s" s="118">
        <v>74</v>
      </c>
      <c r="AS1" t="s" s="119">
        <v>75</v>
      </c>
      <c r="AT1" t="s" s="120">
        <v>76</v>
      </c>
      <c r="AU1" t="s" s="121">
        <v>77</v>
      </c>
      <c r="AV1" t="s" s="122">
        <v>78</v>
      </c>
      <c r="AW1" t="s" s="123">
        <v>79</v>
      </c>
      <c r="AX1" t="s" s="124">
        <v>80</v>
      </c>
      <c r="AY1" t="s" s="125">
        <v>81</v>
      </c>
      <c r="AZ1" t="s" s="126">
        <v>82</v>
      </c>
      <c r="BA1" t="s" s="127">
        <v>83</v>
      </c>
      <c r="BB1" t="s" s="128">
        <v>84</v>
      </c>
      <c r="BC1" t="s" s="129">
        <v>85</v>
      </c>
      <c r="BD1" t="s" s="130">
        <v>86</v>
      </c>
      <c r="BE1" t="s" s="131">
        <v>87</v>
      </c>
      <c r="BF1" t="s" s="132">
        <v>88</v>
      </c>
      <c r="BG1" t="s" s="133">
        <v>89</v>
      </c>
      <c r="BH1" t="s" s="134">
        <v>90</v>
      </c>
      <c r="BI1" t="s" s="135">
        <v>91</v>
      </c>
      <c r="BJ1" t="s" s="136">
        <v>92</v>
      </c>
      <c r="BK1" t="s" s="137">
        <v>93</v>
      </c>
      <c r="BL1" t="s" s="138">
        <v>94</v>
      </c>
      <c r="BM1" t="s" s="139">
        <v>95</v>
      </c>
      <c r="BN1" t="s" s="140">
        <v>96</v>
      </c>
      <c r="BO1" t="s" s="141">
        <v>97</v>
      </c>
      <c r="BP1" t="s" s="142">
        <v>98</v>
      </c>
      <c r="BQ1" t="s" s="143">
        <v>99</v>
      </c>
      <c r="BR1" t="s" s="144">
        <v>100</v>
      </c>
      <c r="BS1" t="s" s="145">
        <v>101</v>
      </c>
      <c r="BT1" t="s" s="146">
        <v>102</v>
      </c>
      <c r="BU1" t="s" s="147">
        <v>103</v>
      </c>
      <c r="BV1" t="s" s="148">
        <v>104</v>
      </c>
      <c r="BW1" t="s" s="149">
        <v>105</v>
      </c>
      <c r="BX1" t="s" s="150">
        <v>106</v>
      </c>
      <c r="BY1" t="s" s="151">
        <v>107</v>
      </c>
      <c r="BZ1" t="s" s="152">
        <v>108</v>
      </c>
      <c r="CA1" t="s" s="153">
        <v>109</v>
      </c>
      <c r="CB1" t="s" s="154">
        <v>110</v>
      </c>
      <c r="CC1" t="s" s="155">
        <v>111</v>
      </c>
      <c r="CD1" t="s" s="156">
        <v>112</v>
      </c>
      <c r="CE1" t="s" s="157">
        <v>113</v>
      </c>
      <c r="CF1" t="s" s="158">
        <v>114</v>
      </c>
      <c r="CG1" t="s" s="159">
        <v>115</v>
      </c>
      <c r="CH1" t="s" s="160">
        <v>116</v>
      </c>
      <c r="CI1" t="s" s="161">
        <v>117</v>
      </c>
      <c r="CJ1" t="s" s="162">
        <v>118</v>
      </c>
      <c r="CK1" t="s" s="163">
        <v>119</v>
      </c>
      <c r="CL1" t="s" s="164">
        <v>120</v>
      </c>
      <c r="CM1" t="s" s="165">
        <v>1</v>
      </c>
    </row>
    <row r="2" spans="1:2" x14ac:dyDescent="0.25">
      <c r="A2" t="s">
        <v>30</v>
      </c>
      <c r="B2">
        <f>'Unit Price &amp; Cost'!A65536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showGridLines="0" showRowColHeaders="0" tabSelected="1" zoomScaleNormal="100" workbookViewId="0">
      <pane xSplit="3" ySplit="14" topLeftCell="D15" activePane="bottomRight" state="frozen"/>
      <selection pane="topRight" activeCell="D1" sqref="D1"/>
      <selection pane="bottomLeft" activeCell="A14" sqref="A14"/>
      <selection pane="bottomRight"/>
    </sheetView>
  </sheetViews>
  <sheetFormatPr defaultRowHeight="15" x14ac:dyDescent="0.25"/>
  <cols>
    <col min="1" max="1" customWidth="true" width="1.85546875" collapsed="true"/>
    <col min="2" max="2" customWidth="true" hidden="true" width="4.42578125" collapsed="true"/>
    <col min="3" max="3" customWidth="true" width="21.42578125" collapsed="true"/>
    <col min="4" max="4" customWidth="true" width="9.7109375" collapsed="true"/>
    <col min="5" max="5" customWidth="true" width="1.42578125" collapsed="true"/>
    <col min="6" max="16" customWidth="true" width="9.7109375" collapsed="true"/>
  </cols>
  <sheetData>
    <row r="1" spans="1:18" ht="7.5" customHeight="1" x14ac:dyDescent="0.25">
      <c r="B1" s="5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5"/>
      <c r="R1" s="5"/>
    </row>
    <row r="2" spans="1:18" ht="15" customHeight="1" x14ac:dyDescent="0.25">
      <c r="B2" s="5"/>
      <c r="C2" s="6"/>
      <c r="E2" s="5"/>
      <c r="F2" s="5"/>
      <c r="G2" s="5"/>
      <c r="H2" s="5"/>
      <c r="I2" s="5"/>
      <c r="J2" s="5"/>
      <c r="K2" s="5"/>
      <c r="L2" s="5"/>
      <c r="M2" s="5"/>
      <c r="N2" s="62" t="s">
        <v>22</v>
      </c>
      <c r="O2" s="63"/>
      <c r="P2" s="63"/>
      <c r="Q2" s="5"/>
      <c r="R2" s="5"/>
    </row>
    <row r="3" spans="1:18" hidden="1" x14ac:dyDescent="0.25">
      <c r="B3" s="5"/>
      <c r="D3" s="1"/>
      <c r="E3" s="5"/>
      <c r="G3" s="5"/>
      <c r="H3" s="4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ht="18" hidden="1" x14ac:dyDescent="0.25">
      <c r="B4" s="5"/>
      <c r="C4" s="7"/>
      <c r="D4" s="1"/>
      <c r="G4" s="18"/>
      <c r="H4" s="18"/>
      <c r="I4" s="18"/>
      <c r="J4" s="18"/>
      <c r="K4" s="18"/>
      <c r="L4" s="18"/>
      <c r="N4" s="5"/>
      <c r="O4" s="5"/>
      <c r="P4" s="5"/>
      <c r="Q4" s="5"/>
      <c r="R4" s="5"/>
    </row>
    <row r="5" spans="1:18" ht="21.75" customHeight="1" x14ac:dyDescent="0.25">
      <c r="B5" s="5"/>
      <c r="C5" s="68" t="s">
        <v>167</v>
      </c>
      <c r="D5" s="68"/>
      <c r="E5" s="68"/>
      <c r="F5" s="68"/>
      <c r="G5" s="18" t="s">
        <v>168</v>
      </c>
      <c r="H5" s="4"/>
      <c r="I5" s="5"/>
      <c r="J5" s="5"/>
      <c r="K5" s="5"/>
      <c r="L5" s="5"/>
      <c r="M5" s="5"/>
      <c r="N5" s="5"/>
      <c r="O5" s="5"/>
      <c r="P5" s="5"/>
      <c r="Q5" s="5"/>
      <c r="R5" s="5"/>
    </row>
    <row r="6" spans="1:18" ht="16.5" customHeight="1" x14ac:dyDescent="0.25">
      <c r="B6" s="5"/>
      <c r="C6" s="69" t="s">
        <v>122</v>
      </c>
      <c r="D6" s="69"/>
      <c r="E6" s="69"/>
      <c r="F6" s="69"/>
      <c r="G6" s="5"/>
      <c r="H6" s="4"/>
      <c r="I6" s="5"/>
      <c r="J6" s="5"/>
      <c r="K6" s="5"/>
      <c r="L6" s="5"/>
      <c r="M6" s="5"/>
      <c r="N6" s="66" t="s">
        <v>4</v>
      </c>
      <c r="O6" s="67"/>
      <c r="P6" s="67"/>
      <c r="Q6" s="5"/>
      <c r="R6" s="5"/>
    </row>
    <row r="7" spans="1:18" ht="18.75" customHeight="1" x14ac:dyDescent="0.25">
      <c r="B7" s="5"/>
      <c r="C7" s="20" t="s">
        <v>123</v>
      </c>
      <c r="Q7" s="5"/>
      <c r="R7" s="5"/>
    </row>
    <row r="8" spans="1:18" hidden="1" x14ac:dyDescent="0.25">
      <c r="B8" s="5"/>
      <c r="C8" s="10"/>
      <c r="D8" s="16"/>
      <c r="E8" s="5"/>
      <c r="F8" s="5"/>
      <c r="G8" s="5"/>
      <c r="I8" s="5"/>
      <c r="J8" s="5"/>
      <c r="K8" s="5"/>
      <c r="L8" s="5"/>
      <c r="M8" s="5"/>
      <c r="N8" s="5"/>
      <c r="O8" s="5"/>
      <c r="P8" s="5"/>
      <c r="Q8" s="5"/>
      <c r="R8" s="5"/>
    </row>
    <row r="9" spans="1:18" hidden="1" x14ac:dyDescent="0.25">
      <c r="B9" s="5"/>
      <c r="C9" s="14"/>
      <c r="F9" s="5"/>
      <c r="G9" s="5"/>
      <c r="H9" s="4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18" hidden="1" x14ac:dyDescent="0.25">
      <c r="B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18" ht="20.25" customHeight="1" thickBot="1" x14ac:dyDescent="0.3">
      <c r="B11" s="5"/>
      <c r="C11" s="5"/>
      <c r="D11" s="15" t="str">
        <f>+D13</f>
        <v>2013 Actual</v>
      </c>
      <c r="F11" s="70" t="str">
        <f>+F13</f>
        <v>2014 Budget</v>
      </c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2"/>
    </row>
    <row r="12" spans="1:18" s="27" customFormat="1" ht="20.25" hidden="1" customHeight="1" thickTop="1" thickBot="1" x14ac:dyDescent="0.25">
      <c r="B12" s="5"/>
      <c r="C12" s="5"/>
      <c r="D12" s="23"/>
      <c r="F12" s="28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</row>
    <row r="13" spans="1:18" ht="42" hidden="1" customHeight="1" thickTop="1" thickBot="1" x14ac:dyDescent="0.3">
      <c r="A13" s="8"/>
      <c r="B13" s="9"/>
      <c r="C13" s="61"/>
      <c r="D13" s="113" t="s">
        <v>126</v>
      </c>
      <c r="E13" s="169" t="s">
        <v>126</v>
      </c>
      <c r="F13" s="113" t="s">
        <v>123</v>
      </c>
      <c r="G13" s="113" t="s">
        <v>123</v>
      </c>
      <c r="H13" s="113" t="s">
        <v>123</v>
      </c>
      <c r="I13" s="113" t="s">
        <v>123</v>
      </c>
      <c r="J13" s="113" t="s">
        <v>123</v>
      </c>
      <c r="K13" s="113" t="s">
        <v>123</v>
      </c>
      <c r="L13" s="113" t="s">
        <v>123</v>
      </c>
      <c r="M13" s="113" t="s">
        <v>123</v>
      </c>
      <c r="N13" s="113" t="s">
        <v>123</v>
      </c>
      <c r="O13" s="113" t="s">
        <v>123</v>
      </c>
      <c r="P13" s="113" t="s">
        <v>123</v>
      </c>
      <c r="Q13" s="113" t="s">
        <v>123</v>
      </c>
      <c r="R13" s="113" t="s">
        <v>133</v>
      </c>
    </row>
    <row r="14" spans="1:18" ht="16.5" thickTop="1" thickBot="1" x14ac:dyDescent="0.3">
      <c r="A14" s="8"/>
      <c r="B14" s="9"/>
      <c r="C14" s="14"/>
      <c r="D14" s="113" t="s">
        <v>131</v>
      </c>
      <c r="E14" s="169" t="s">
        <v>133</v>
      </c>
      <c r="F14" s="113" t="s">
        <v>149</v>
      </c>
      <c r="G14" s="113" t="s">
        <v>5</v>
      </c>
      <c r="H14" s="113" t="s">
        <v>6</v>
      </c>
      <c r="I14" s="113" t="s">
        <v>7</v>
      </c>
      <c r="J14" s="113" t="s">
        <v>135</v>
      </c>
      <c r="K14" s="113" t="s">
        <v>138</v>
      </c>
      <c r="L14" s="113" t="s">
        <v>148</v>
      </c>
      <c r="M14" s="113" t="s">
        <v>134</v>
      </c>
      <c r="N14" s="113" t="s">
        <v>137</v>
      </c>
      <c r="O14" s="113" t="s">
        <v>140</v>
      </c>
      <c r="P14" s="113" t="s">
        <v>8</v>
      </c>
      <c r="Q14" s="113" t="s">
        <v>131</v>
      </c>
      <c r="R14" s="113" t="s">
        <v>1</v>
      </c>
    </row>
    <row r="15" spans="1:18" ht="15.75" thickTop="1" x14ac:dyDescent="0.25">
      <c r="A15" s="8"/>
      <c r="B15" s="9"/>
      <c r="C15" s="167" t="s">
        <v>146</v>
      </c>
      <c r="D15" s="166" t="n">
        <v>30328.187104924</v>
      </c>
      <c r="E15" s="168"/>
      <c r="F15" s="166" t="n">
        <v>2925.927785355</v>
      </c>
      <c r="G15" s="166" t="n">
        <v>2881.769731501</v>
      </c>
      <c r="H15" s="166" t="n">
        <v>3209.6707197</v>
      </c>
      <c r="I15" s="166" t="n">
        <v>2968.550882762</v>
      </c>
      <c r="J15" s="166" t="n">
        <v>2954.427838968</v>
      </c>
      <c r="K15" s="166" t="n">
        <v>2751.28324056</v>
      </c>
      <c r="L15" s="166" t="n">
        <v>3066.78419564</v>
      </c>
      <c r="M15" s="166" t="n">
        <v>2733.094291752</v>
      </c>
      <c r="N15" s="166" t="n">
        <v>2653.978754157</v>
      </c>
      <c r="O15" s="166" t="n">
        <v>3063.642706964</v>
      </c>
      <c r="P15" s="166" t="n">
        <v>2984.271284132</v>
      </c>
      <c r="Q15" s="166" t="n">
        <v>4389.194379983</v>
      </c>
      <c r="R15" s="166" t="n">
        <f>SUBTOTAL(9,F15:Q15)</f>
        <v>36582.595811474</v>
      </c>
    </row>
    <row r="16" spans="1:18" ht="15.75" thickBot="1" x14ac:dyDescent="0.3">
      <c r="C16" s="167" t="s">
        <v>143</v>
      </c>
      <c r="D16" s="166" t="n">
        <v>54899.346052422</v>
      </c>
      <c r="E16" s="168"/>
      <c r="F16" s="166" t="n">
        <v>4521.8212113</v>
      </c>
      <c r="G16" s="166" t="n">
        <v>4368.988103315</v>
      </c>
      <c r="H16" s="166" t="n">
        <v>5872.440164477</v>
      </c>
      <c r="I16" s="166" t="n">
        <v>5543.192737756</v>
      </c>
      <c r="J16" s="166" t="n">
        <v>6219.098135186</v>
      </c>
      <c r="K16" s="166" t="n">
        <v>4038.293513131</v>
      </c>
      <c r="L16" s="166" t="n">
        <v>4400.171248333</v>
      </c>
      <c r="M16" s="166" t="n">
        <v>6184.222178855</v>
      </c>
      <c r="N16" s="166" t="n">
        <v>4977.949318935</v>
      </c>
      <c r="O16" s="166" t="n">
        <v>4800.562248846</v>
      </c>
      <c r="P16" s="166" t="n">
        <v>4691.797563992</v>
      </c>
      <c r="Q16" s="166" t="n">
        <v>1418.49646797</v>
      </c>
      <c r="R16" s="166" t="n">
        <f>SUBTOTAL(9,F16:Q16)</f>
        <v>57037.032892095995</v>
      </c>
    </row>
    <row r="17">
      <c r="C17" s="167" t="s">
        <v>128</v>
      </c>
      <c r="D17" s="166" t="n">
        <v>57303.080955947</v>
      </c>
      <c r="E17" s="168"/>
      <c r="F17" s="166" t="n">
        <v>6368.127343401</v>
      </c>
      <c r="G17" s="166" t="n">
        <v>3435.53545957</v>
      </c>
      <c r="H17" s="166" t="n">
        <v>5120.433492133</v>
      </c>
      <c r="I17" s="166" t="n">
        <v>3726.008877934</v>
      </c>
      <c r="J17" s="166" t="n">
        <v>3460.580560257</v>
      </c>
      <c r="K17" s="166" t="n">
        <v>3275.479046293</v>
      </c>
      <c r="L17" s="166" t="n">
        <v>2229.324441194</v>
      </c>
      <c r="M17" s="166" t="n">
        <v>3573.49259874</v>
      </c>
      <c r="N17" s="166" t="n">
        <v>12214.672905942</v>
      </c>
      <c r="O17" s="166" t="n">
        <v>4840.820262868</v>
      </c>
      <c r="P17" s="166" t="n">
        <v>3265.079495644</v>
      </c>
      <c r="Q17" s="166" t="n">
        <v>3384.528453309</v>
      </c>
      <c r="R17" s="166" t="n">
        <f>SUBTOTAL(9,F17:Q17)</f>
        <v>54894.082937285006</v>
      </c>
    </row>
    <row r="18">
      <c r="C18" s="167" t="s">
        <v>125</v>
      </c>
      <c r="D18" s="166" t="n">
        <v>22682.997182798</v>
      </c>
      <c r="E18" s="168"/>
      <c r="F18" s="166" t="n">
        <v>895.727727031</v>
      </c>
      <c r="G18" s="166" t="n">
        <v>887.913963997</v>
      </c>
      <c r="H18" s="166" t="n">
        <v>915.581354625</v>
      </c>
      <c r="I18" s="166" t="n">
        <v>886.190354095</v>
      </c>
      <c r="J18" s="166" t="n">
        <v>934.822190606</v>
      </c>
      <c r="K18" s="166" t="n">
        <v>888.519719861</v>
      </c>
      <c r="L18" s="166" t="n">
        <v>873.59736726</v>
      </c>
      <c r="M18" s="166" t="n">
        <v>2482.003970363</v>
      </c>
      <c r="N18" s="166" t="n">
        <v>975.059650929</v>
      </c>
      <c r="O18" s="166" t="n">
        <v>3307.120310914</v>
      </c>
      <c r="P18" s="166" t="n">
        <v>8154.334177617</v>
      </c>
      <c r="Q18" s="166" t="n">
        <v>10370.601595344</v>
      </c>
      <c r="R18" s="166" t="n">
        <f>SUBTOTAL(9,F18:Q18)</f>
        <v>31571.472382642</v>
      </c>
    </row>
    <row r="19">
      <c r="C19" s="167" t="s">
        <v>127</v>
      </c>
      <c r="D19" s="166" t="n">
        <v>50821.126439929</v>
      </c>
      <c r="E19" s="168"/>
      <c r="F19" s="166" t="n">
        <v>3712.662790591</v>
      </c>
      <c r="G19" s="166" t="n">
        <v>1944.3282364</v>
      </c>
      <c r="H19" s="166" t="n">
        <v>2785.695537321</v>
      </c>
      <c r="I19" s="166" t="n">
        <v>1699.956258172</v>
      </c>
      <c r="J19" s="166" t="n">
        <v>1758.888194731</v>
      </c>
      <c r="K19" s="166" t="n">
        <v>1730.710978219</v>
      </c>
      <c r="L19" s="166" t="n">
        <v>1602.994681306</v>
      </c>
      <c r="M19" s="166" t="n">
        <v>2996.677181044</v>
      </c>
      <c r="N19" s="166" t="n">
        <v>4374.790761632</v>
      </c>
      <c r="O19" s="166" t="n">
        <v>22893.729552542</v>
      </c>
      <c r="P19" s="166" t="n">
        <v>7837.564805274</v>
      </c>
      <c r="Q19" s="166" t="n">
        <v>1617.645224188</v>
      </c>
      <c r="R19" s="166" t="n">
        <f>SUBTOTAL(9,F19:Q19)</f>
        <v>54955.64420142</v>
      </c>
    </row>
    <row r="20">
      <c r="C20" s="167" t="s">
        <v>144</v>
      </c>
      <c r="D20" s="166" t="n">
        <v>56127.830707966</v>
      </c>
      <c r="E20" s="168"/>
      <c r="F20" s="166" t="n">
        <v>6225.404067456</v>
      </c>
      <c r="G20" s="166" t="n">
        <v>4788.404057666</v>
      </c>
      <c r="H20" s="166" t="n">
        <v>5020.75082906</v>
      </c>
      <c r="I20" s="166" t="n">
        <v>3700.284861072</v>
      </c>
      <c r="J20" s="166" t="n">
        <v>4902.633989426</v>
      </c>
      <c r="K20" s="166" t="n">
        <v>5158.746579021</v>
      </c>
      <c r="L20" s="166" t="n">
        <v>4698.612996644</v>
      </c>
      <c r="M20" s="166" t="n">
        <v>4666.750753547</v>
      </c>
      <c r="N20" s="166" t="n">
        <v>10206.724792064</v>
      </c>
      <c r="O20" s="166" t="n">
        <v>5473.15737148</v>
      </c>
      <c r="P20" s="166" t="n">
        <v>4344.214277792</v>
      </c>
      <c r="Q20" s="166" t="n">
        <v>1034.096600035</v>
      </c>
      <c r="R20" s="166" t="n">
        <f>SUBTOTAL(9,F20:Q20)</f>
        <v>60219.781175263</v>
      </c>
    </row>
    <row r="21">
      <c r="C21" s="171" t="s">
        <v>139</v>
      </c>
      <c r="D21" s="170" t="n">
        <f>SUBTOTAL(9,D15:D20)</f>
        <v>272162.568443986</v>
      </c>
      <c r="E21" s="174"/>
      <c r="F21" s="170" t="n">
        <f>SUBTOTAL(9,F15:F20)</f>
        <v>24649.670925134</v>
      </c>
      <c r="G21" s="170" t="n">
        <f>SUBTOTAL(9,G15:G20)</f>
        <v>18306.939552449</v>
      </c>
      <c r="H21" s="170" t="n">
        <f>SUBTOTAL(9,H15:H20)</f>
        <v>22924.572097316</v>
      </c>
      <c r="I21" s="170" t="n">
        <f>SUBTOTAL(9,I15:I20)</f>
        <v>18524.183971791</v>
      </c>
      <c r="J21" s="170" t="n">
        <f>SUBTOTAL(9,J15:J20)</f>
        <v>20230.450909174</v>
      </c>
      <c r="K21" s="170" t="n">
        <f>SUBTOTAL(9,K15:K20)</f>
        <v>17843.033077085</v>
      </c>
      <c r="L21" s="170" t="n">
        <f>SUBTOTAL(9,L15:L20)</f>
        <v>16871.484930377</v>
      </c>
      <c r="M21" s="170" t="n">
        <f>SUBTOTAL(9,M15:M20)</f>
        <v>22636.240974301</v>
      </c>
      <c r="N21" s="170" t="n">
        <f>SUBTOTAL(9,N15:N20)</f>
        <v>35403.176183659</v>
      </c>
      <c r="O21" s="170" t="n">
        <f>SUBTOTAL(9,O15:O20)</f>
        <v>44379.03245361401</v>
      </c>
      <c r="P21" s="170" t="n">
        <f>SUBTOTAL(9,P15:P20)</f>
        <v>31277.261604451</v>
      </c>
      <c r="Q21" s="170" t="n">
        <f>SUBTOTAL(9,Q15:Q20)</f>
        <v>22214.562720828995</v>
      </c>
      <c r="R21" s="170" t="n">
        <f>SUBTOTAL(9,F15:Q20)</f>
        <v>295260.60940018005</v>
      </c>
    </row>
    <row r="22">
      <c r="C22" s="167" t="s">
        <v>147</v>
      </c>
      <c r="D22" s="166" t="n">
        <v>13137.766899724</v>
      </c>
      <c r="E22" s="168"/>
      <c r="F22" s="166" t="n">
        <v>958.151772611</v>
      </c>
      <c r="G22" s="166" t="n">
        <v>855.965324111</v>
      </c>
      <c r="H22" s="166" t="n">
        <v>1678.89913872</v>
      </c>
      <c r="I22" s="166" t="n">
        <v>1123.754805626</v>
      </c>
      <c r="J22" s="166" t="n">
        <v>935.965324111</v>
      </c>
      <c r="K22" s="166" t="n">
        <v>960.568425204</v>
      </c>
      <c r="L22" s="166" t="n">
        <v>997.215357901</v>
      </c>
      <c r="M22" s="166" t="n">
        <v>1240.309609106</v>
      </c>
      <c r="N22" s="166" t="n">
        <v>918.157999416</v>
      </c>
      <c r="O22" s="166" t="n">
        <v>1648.524452754</v>
      </c>
      <c r="P22" s="166" t="n">
        <v>957.581730453</v>
      </c>
      <c r="Q22" s="166" t="n">
        <v>787.704241804</v>
      </c>
      <c r="R22" s="166" t="n">
        <f>SUBTOTAL(9,F22:Q22)</f>
        <v>13062.798181817</v>
      </c>
    </row>
    <row r="23">
      <c r="C23" s="167" t="s">
        <v>132</v>
      </c>
      <c r="D23" s="166" t="n">
        <v>14190.053532878</v>
      </c>
      <c r="E23" s="168"/>
      <c r="F23" s="166" t="n">
        <v>806.455197403</v>
      </c>
      <c r="G23" s="166" t="n">
        <v>1280.715544174</v>
      </c>
      <c r="H23" s="166" t="n">
        <v>1249.068124242</v>
      </c>
      <c r="I23" s="166" t="n">
        <v>1503.681238783</v>
      </c>
      <c r="J23" s="166" t="n">
        <v>1402.282548039</v>
      </c>
      <c r="K23" s="166" t="n">
        <v>1368.101064116</v>
      </c>
      <c r="L23" s="166" t="n">
        <v>1131.455301952</v>
      </c>
      <c r="M23" s="166" t="n">
        <v>871.332440577</v>
      </c>
      <c r="N23" s="166" t="n">
        <v>849.094259059</v>
      </c>
      <c r="O23" s="166" t="n">
        <v>855.275957147</v>
      </c>
      <c r="P23" s="166" t="n">
        <v>858.044528444</v>
      </c>
      <c r="Q23" s="166" t="n">
        <v>1026.410583621</v>
      </c>
      <c r="R23" s="166" t="n">
        <f>SUBTOTAL(9,F23:Q23)</f>
        <v>13201.916787556998</v>
      </c>
    </row>
    <row r="24">
      <c r="C24" s="167" t="s">
        <v>142</v>
      </c>
      <c r="D24" s="166" t="n">
        <v>9947.159507688</v>
      </c>
      <c r="E24" s="168"/>
      <c r="F24" s="166" t="n">
        <v>394.914126411</v>
      </c>
      <c r="G24" s="166" t="n">
        <v>506.257129529</v>
      </c>
      <c r="H24" s="166" t="n">
        <v>598.495512916</v>
      </c>
      <c r="I24" s="166" t="n">
        <v>595.567440577</v>
      </c>
      <c r="J24" s="166" t="n">
        <v>593.860837042</v>
      </c>
      <c r="K24" s="166" t="n">
        <v>1175.161349966</v>
      </c>
      <c r="L24" s="166" t="n">
        <v>1161.70730866</v>
      </c>
      <c r="M24" s="166" t="n">
        <v>643.025230577</v>
      </c>
      <c r="N24" s="166" t="n">
        <v>1046.620500148</v>
      </c>
      <c r="O24" s="166" t="n">
        <v>550.788631978</v>
      </c>
      <c r="P24" s="166" t="n">
        <v>1118.556817576</v>
      </c>
      <c r="Q24" s="166" t="n">
        <v>700.980898154</v>
      </c>
      <c r="R24" s="166" t="n">
        <f>SUBTOTAL(9,F24:Q24)</f>
        <v>9085.935783534002</v>
      </c>
    </row>
    <row r="25">
      <c r="C25" s="167" t="s">
        <v>124</v>
      </c>
      <c r="D25" s="166" t="n">
        <v>6062.901860165</v>
      </c>
      <c r="E25" s="168"/>
      <c r="F25" s="166" t="n">
        <v>857.692241089</v>
      </c>
      <c r="G25" s="166" t="n">
        <v>846.906992357</v>
      </c>
      <c r="H25" s="166" t="n">
        <v>310.917129529</v>
      </c>
      <c r="I25" s="166" t="n">
        <v>474.421362278</v>
      </c>
      <c r="J25" s="166" t="n">
        <v>337.135108876</v>
      </c>
      <c r="K25" s="166" t="n">
        <v>336.485357966</v>
      </c>
      <c r="L25" s="166" t="n">
        <v>346.527315208</v>
      </c>
      <c r="M25" s="166" t="n">
        <v>414.887763032</v>
      </c>
      <c r="N25" s="166" t="n">
        <v>256.421432555</v>
      </c>
      <c r="O25" s="166" t="n">
        <v>484.899789339</v>
      </c>
      <c r="P25" s="166" t="n">
        <v>905.632089602</v>
      </c>
      <c r="Q25" s="166" t="n">
        <v>222.656913758</v>
      </c>
      <c r="R25" s="166" t="n">
        <f>SUBTOTAL(9,F25:Q25)</f>
        <v>5794.5834955889995</v>
      </c>
    </row>
    <row r="26">
      <c r="C26" s="167" t="s">
        <v>141</v>
      </c>
      <c r="D26" s="166" t="n">
        <v>4296.57330066</v>
      </c>
      <c r="E26" s="168"/>
      <c r="F26" s="166" t="n">
        <v>433.780377301</v>
      </c>
      <c r="G26" s="166" t="n">
        <v>324.525440577</v>
      </c>
      <c r="H26" s="166" t="n">
        <v>548.049850593</v>
      </c>
      <c r="I26" s="166" t="n">
        <v>542.275948082</v>
      </c>
      <c r="J26" s="166" t="n">
        <v>401.087598886</v>
      </c>
      <c r="K26" s="166" t="n">
        <v>220.270260726</v>
      </c>
      <c r="L26" s="166" t="n">
        <v>353.70890236</v>
      </c>
      <c r="M26" s="166" t="n">
        <v>359.61459584</v>
      </c>
      <c r="N26" s="166" t="n">
        <v>154.716530555</v>
      </c>
      <c r="O26" s="166" t="n">
        <v>208.662527267</v>
      </c>
      <c r="P26" s="166" t="n">
        <v>215.625229049</v>
      </c>
      <c r="Q26" s="166" t="n">
        <v>168.287584172</v>
      </c>
      <c r="R26" s="166" t="n">
        <f>SUBTOTAL(9,F26:Q26)</f>
        <v>3930.604845408</v>
      </c>
    </row>
    <row r="27">
      <c r="C27" s="167" t="s">
        <v>136</v>
      </c>
      <c r="D27" s="166" t="n">
        <v>2502.478118354</v>
      </c>
      <c r="E27" s="168"/>
      <c r="F27" s="166" t="n">
        <v>282.02182662</v>
      </c>
      <c r="G27" s="166" t="n">
        <v>152.67972058</v>
      </c>
      <c r="H27" s="166" t="n">
        <v>210.765722315</v>
      </c>
      <c r="I27" s="166" t="n">
        <v>319.017948082</v>
      </c>
      <c r="J27" s="166" t="n">
        <v>166.256322678</v>
      </c>
      <c r="K27" s="166" t="n">
        <v>101.277108876</v>
      </c>
      <c r="L27" s="166" t="n">
        <v>212.793795349</v>
      </c>
      <c r="M27" s="166" t="n">
        <v>87.442440577</v>
      </c>
      <c r="N27" s="166" t="n">
        <v>79.628631978</v>
      </c>
      <c r="O27" s="166" t="n">
        <v>341.695510454</v>
      </c>
      <c r="P27" s="166" t="n">
        <v>168.565873622</v>
      </c>
      <c r="Q27" s="166" t="n">
        <v>339.721070579</v>
      </c>
      <c r="R27" s="166" t="n">
        <f>SUBTOTAL(9,F27:Q27)</f>
        <v>2461.86597171</v>
      </c>
    </row>
    <row r="28">
      <c r="C28" s="167" t="s">
        <v>129</v>
      </c>
      <c r="D28" s="166" t="n">
        <v>10272.43056367</v>
      </c>
      <c r="E28" s="168"/>
      <c r="F28" s="166" t="n">
        <v>458.582530789</v>
      </c>
      <c r="G28" s="166" t="n">
        <v>468.825793353</v>
      </c>
      <c r="H28" s="166" t="n">
        <v>400.698217875</v>
      </c>
      <c r="I28" s="166" t="n">
        <v>260.926003508</v>
      </c>
      <c r="J28" s="166" t="n">
        <v>848.856689167</v>
      </c>
      <c r="K28" s="166" t="n">
        <v>848.704435668</v>
      </c>
      <c r="L28" s="166" t="n">
        <v>594.695948081</v>
      </c>
      <c r="M28" s="166" t="n">
        <v>565.499197458</v>
      </c>
      <c r="N28" s="166" t="n">
        <v>602.481387945</v>
      </c>
      <c r="O28" s="166" t="n">
        <v>711.673710319</v>
      </c>
      <c r="P28" s="166" t="n">
        <v>824.910254476</v>
      </c>
      <c r="Q28" s="166" t="n">
        <v>1418.561470343</v>
      </c>
      <c r="R28" s="166" t="n">
        <f>SUBTOTAL(9,F28:Q28)</f>
        <v>8004.415638982</v>
      </c>
    </row>
    <row r="29">
      <c r="C29" s="167" t="s">
        <v>145</v>
      </c>
      <c r="D29" s="166"/>
      <c r="E29" s="168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 t="n">
        <f>SUBTOTAL(9,F29:Q29)</f>
        <v>0.0</v>
      </c>
    </row>
    <row r="30">
      <c r="C30" s="171" t="s">
        <v>130</v>
      </c>
      <c r="D30" s="170" t="n">
        <f>SUBTOTAL(9,D22:D29)</f>
        <v>60409.36378313899</v>
      </c>
      <c r="E30" s="174"/>
      <c r="F30" s="170" t="n">
        <f>SUBTOTAL(9,F22:F29)</f>
        <v>4191.598072224</v>
      </c>
      <c r="G30" s="170" t="n">
        <f>SUBTOTAL(9,G22:G29)</f>
        <v>4435.875944681</v>
      </c>
      <c r="H30" s="170" t="n">
        <f>SUBTOTAL(9,H22:H29)</f>
        <v>4996.89369619</v>
      </c>
      <c r="I30" s="170" t="n">
        <f>SUBTOTAL(9,I22:I29)</f>
        <v>4819.644746935999</v>
      </c>
      <c r="J30" s="170" t="n">
        <f>SUBTOTAL(9,J22:J29)</f>
        <v>4685.444428799</v>
      </c>
      <c r="K30" s="170" t="n">
        <f>SUBTOTAL(9,K22:K29)</f>
        <v>5010.568002521999</v>
      </c>
      <c r="L30" s="170" t="n">
        <f>SUBTOTAL(9,L22:L29)</f>
        <v>4798.103929511</v>
      </c>
      <c r="M30" s="170" t="n">
        <f>SUBTOTAL(9,M22:M29)</f>
        <v>4182.1112771670005</v>
      </c>
      <c r="N30" s="170" t="n">
        <f>SUBTOTAL(9,N22:N29)</f>
        <v>3907.120741656</v>
      </c>
      <c r="O30" s="170" t="n">
        <f>SUBTOTAL(9,O22:O29)</f>
        <v>4801.520579258</v>
      </c>
      <c r="P30" s="170" t="n">
        <f>SUBTOTAL(9,P22:P29)</f>
        <v>5048.916523222</v>
      </c>
      <c r="Q30" s="170" t="n">
        <f>SUBTOTAL(9,Q22:Q29)</f>
        <v>4664.322762431</v>
      </c>
      <c r="R30" s="170" t="n">
        <f>SUBTOTAL(9,F22:Q29)</f>
        <v>55542.120704596964</v>
      </c>
    </row>
    <row r="31">
      <c r="C31" s="171" t="s">
        <v>150</v>
      </c>
      <c r="D31" s="170" t="n">
        <f>SUBTOTAL(9,D15:D30)</f>
        <v>332571.93222712504</v>
      </c>
      <c r="E31" s="174"/>
      <c r="F31" s="170" t="n">
        <f>SUBTOTAL(9,F15:F30)</f>
        <v>28841.268997357998</v>
      </c>
      <c r="G31" s="170" t="n">
        <f>SUBTOTAL(9,G15:G30)</f>
        <v>22742.815497129995</v>
      </c>
      <c r="H31" s="170" t="n">
        <f>SUBTOTAL(9,H15:H30)</f>
        <v>27921.465793506002</v>
      </c>
      <c r="I31" s="170" t="n">
        <f>SUBTOTAL(9,I15:I30)</f>
        <v>23343.828718727</v>
      </c>
      <c r="J31" s="170" t="n">
        <f>SUBTOTAL(9,J15:J30)</f>
        <v>24915.895337972997</v>
      </c>
      <c r="K31" s="170" t="n">
        <f>SUBTOTAL(9,K15:K30)</f>
        <v>22853.601079607004</v>
      </c>
      <c r="L31" s="170" t="n">
        <f>SUBTOTAL(9,L15:L30)</f>
        <v>21669.588859887997</v>
      </c>
      <c r="M31" s="170" t="n">
        <f>SUBTOTAL(9,M15:M30)</f>
        <v>26818.352251468</v>
      </c>
      <c r="N31" s="170" t="n">
        <f>SUBTOTAL(9,N15:N30)</f>
        <v>39310.29692531499</v>
      </c>
      <c r="O31" s="170" t="n">
        <f>SUBTOTAL(9,O15:O30)</f>
        <v>49180.55303287201</v>
      </c>
      <c r="P31" s="170" t="n">
        <f>SUBTOTAL(9,P15:P30)</f>
        <v>36326.178127672996</v>
      </c>
      <c r="Q31" s="170" t="n">
        <f>SUBTOTAL(9,Q15:Q30)</f>
        <v>26878.885483259997</v>
      </c>
      <c r="R31" s="170" t="n">
        <f>SUBTOTAL(9,F15:Q30)</f>
        <v>350802.73010477703</v>
      </c>
    </row>
    <row r="32">
      <c r="C32" s="175" t="s">
        <v>1</v>
      </c>
      <c r="D32" s="172" t="n">
        <f>SUBTOTAL(9,D15:D31)</f>
        <v>332571.93222712504</v>
      </c>
      <c r="E32" s="173"/>
      <c r="F32" s="172" t="n">
        <f>SUBTOTAL(9,F15:F31)</f>
        <v>28841.268997357998</v>
      </c>
      <c r="G32" s="172" t="n">
        <f>SUBTOTAL(9,G15:G31)</f>
        <v>22742.815497129995</v>
      </c>
      <c r="H32" s="172" t="n">
        <f>SUBTOTAL(9,H15:H31)</f>
        <v>27921.465793506002</v>
      </c>
      <c r="I32" s="172" t="n">
        <f>SUBTOTAL(9,I15:I31)</f>
        <v>23343.828718727</v>
      </c>
      <c r="J32" s="172" t="n">
        <f>SUBTOTAL(9,J15:J31)</f>
        <v>24915.895337972997</v>
      </c>
      <c r="K32" s="172" t="n">
        <f>SUBTOTAL(9,K15:K31)</f>
        <v>22853.601079607004</v>
      </c>
      <c r="L32" s="172" t="n">
        <f>SUBTOTAL(9,L15:L31)</f>
        <v>21669.588859887997</v>
      </c>
      <c r="M32" s="172" t="n">
        <f>SUBTOTAL(9,M15:M31)</f>
        <v>26818.352251468</v>
      </c>
      <c r="N32" s="172" t="n">
        <f>SUBTOTAL(9,N15:N31)</f>
        <v>39310.29692531499</v>
      </c>
      <c r="O32" s="172" t="n">
        <f>SUBTOTAL(9,O15:O31)</f>
        <v>49180.55303287201</v>
      </c>
      <c r="P32" s="172" t="n">
        <f>SUBTOTAL(9,P15:P31)</f>
        <v>36326.178127672996</v>
      </c>
      <c r="Q32" s="172" t="n">
        <f>SUBTOTAL(9,Q15:Q31)</f>
        <v>26878.885483259997</v>
      </c>
      <c r="R32" s="172" t="n">
        <f>SUBTOTAL(9,F15:Q31)</f>
        <v>350802.73010477703</v>
      </c>
    </row>
    <row r="33" spans="14:16" ht="15.75" thickTop="1" x14ac:dyDescent="0.25"/>
    <row r="41" spans="14:16" x14ac:dyDescent="0.25">
      <c r="N41" s="11"/>
      <c r="O41" s="12"/>
      <c r="P41" s="13"/>
    </row>
    <row r="42" spans="14:16" x14ac:dyDescent="0.25">
      <c r="N42" s="11"/>
      <c r="O42" s="64"/>
      <c r="P42" s="65"/>
    </row>
  </sheetData>
  <mergeCells count="6">
    <mergeCell ref="N2:P2"/>
    <mergeCell ref="N6:P6"/>
    <mergeCell ref="C5:F5"/>
    <mergeCell ref="C6:F6"/>
    <mergeCell ref="F11:R11"/>
    <mergeCell ref="O42:P42"/>
  </mergeCells>
  <phoneticPr fontId="2" type="noConversion"/>
  <hyperlinks>
    <hyperlink display="Open Form (2060_101)" tooltip="Open Form (2060_101)" location="" ref="N6"/>
    <hyperlink display="Run macro (Function isn't yet supported in the Web client)" tooltip="Run macro (Function isn't yet supported in the Web client)" location="" ref="N2"/>
  </hyperlinks>
  <pageMargins left="0.75" right="0.75" top="1" bottom="1" header="0.5" footer="0.5"/>
  <pageSetup paperSize="9" orientation="portrait" r:id="rId1"/>
  <headerFooter alignWithMargins="0"/>
  <customProperties>
    <customPr name="TGK_SHEET_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J55"/>
  <sheetViews>
    <sheetView showGridLines="0" showRowColHeaders="0" zoomScaleNormal="100" workbookViewId="0">
      <selection activeCell="K12" sqref="K12"/>
    </sheetView>
  </sheetViews>
  <sheetFormatPr defaultRowHeight="15" x14ac:dyDescent="0.25"/>
  <cols>
    <col min="1" max="1" customWidth="true" style="32" width="6.0" collapsed="true"/>
    <col min="2" max="2" customWidth="true" style="32" width="7.7109375" collapsed="true"/>
    <col min="3" max="3" customWidth="true" style="39" width="20.7109375" collapsed="true"/>
    <col min="4" max="7" customWidth="true" style="39" width="12.28515625" collapsed="true"/>
    <col min="8" max="8" customWidth="true" style="39" width="8.7109375" collapsed="true"/>
    <col min="9" max="9" customWidth="true" style="39" width="6.42578125" collapsed="true"/>
    <col min="10" max="12" customWidth="true" style="39" width="12.5703125" collapsed="true"/>
    <col min="13" max="13" customWidth="true" style="39" width="4.5703125" collapsed="true"/>
    <col min="14" max="21" customWidth="true" style="39" width="12.5703125" collapsed="true"/>
    <col min="22" max="22" customWidth="true" style="39" width="10.28515625" collapsed="true"/>
    <col min="23" max="26" customWidth="true" style="39" width="12.5703125" collapsed="true"/>
    <col min="27" max="27" customWidth="true" style="32" width="12.5703125" collapsed="true"/>
    <col min="28" max="29" customWidth="true" style="32" width="9.140625" collapsed="true"/>
    <col min="30" max="30" customWidth="true" style="32" width="7.0" collapsed="true"/>
    <col min="31" max="31" customWidth="true" style="32" width="11.5703125" collapsed="true"/>
    <col min="32" max="33" style="32" width="9.140625" collapsed="true"/>
    <col min="34" max="34" customWidth="true" style="32" width="10.0" collapsed="true"/>
    <col min="35" max="35" customWidth="true" style="32" width="8.0" collapsed="true"/>
    <col min="36" max="16384" style="32" width="9.140625" collapsed="true"/>
  </cols>
  <sheetData>
    <row r="1" spans="2:36" ht="7.5" customHeight="1" x14ac:dyDescent="0.25">
      <c r="B1" s="1"/>
      <c r="C1" s="33"/>
      <c r="D1" s="33"/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2:36" ht="22.5" hidden="1" customHeight="1" x14ac:dyDescent="0.25">
      <c r="B2" s="36"/>
      <c r="C2" s="37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1"/>
      <c r="AB2" s="38"/>
      <c r="AC2" s="38"/>
      <c r="AD2" s="38"/>
      <c r="AE2" s="38"/>
      <c r="AF2" s="1"/>
      <c r="AG2" s="38"/>
      <c r="AH2" s="38"/>
      <c r="AI2" s="38"/>
      <c r="AJ2" s="1"/>
    </row>
    <row r="3" spans="2:36" ht="18" x14ac:dyDescent="0.25">
      <c r="B3" s="1"/>
      <c r="D3" s="40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41"/>
      <c r="AB3" s="41"/>
      <c r="AC3" s="41"/>
      <c r="AD3" s="1"/>
      <c r="AE3" s="1"/>
      <c r="AF3" s="1"/>
      <c r="AG3" s="1"/>
      <c r="AH3" s="1"/>
      <c r="AI3" s="1"/>
      <c r="AJ3" s="1"/>
    </row>
    <row r="4" spans="2:36" ht="18.75" customHeight="1" x14ac:dyDescent="0.25">
      <c r="B4" s="1"/>
      <c r="D4" s="42" t="s">
        <v>168</v>
      </c>
      <c r="E4" s="43"/>
      <c r="F4" s="60" t="s">
        <v>31</v>
      </c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41"/>
      <c r="AB4" s="41"/>
      <c r="AC4" s="41"/>
      <c r="AD4" s="1"/>
      <c r="AE4" s="1"/>
      <c r="AF4" s="1"/>
      <c r="AG4" s="1"/>
      <c r="AH4" s="1"/>
      <c r="AI4" s="1"/>
      <c r="AJ4" s="1"/>
    </row>
    <row r="5" spans="2:36" ht="21" customHeight="1" x14ac:dyDescent="0.25">
      <c r="B5" s="73" t="s">
        <v>121</v>
      </c>
      <c r="C5" s="73"/>
      <c r="D5" s="73"/>
      <c r="F5" s="66" t="s">
        <v>23</v>
      </c>
      <c r="G5" s="67"/>
      <c r="H5" s="67"/>
      <c r="I5" s="31"/>
      <c r="J5" s="31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41"/>
      <c r="AB5" s="41"/>
      <c r="AC5" s="41"/>
      <c r="AD5" s="1"/>
      <c r="AI5" s="1"/>
      <c r="AJ5" s="1"/>
    </row>
    <row r="6" spans="2:36" ht="18.75" customHeight="1" x14ac:dyDescent="0.25">
      <c r="B6" s="73" t="s">
        <v>122</v>
      </c>
      <c r="C6" s="73"/>
      <c r="D6" s="73"/>
      <c r="F6" s="66" t="s">
        <v>24</v>
      </c>
      <c r="G6" s="67"/>
      <c r="H6" s="67"/>
      <c r="I6" s="44"/>
      <c r="J6" s="44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1"/>
      <c r="AI6" s="1"/>
      <c r="AJ6" s="1"/>
    </row>
    <row r="7" spans="2:36" ht="16.5" customHeight="1" x14ac:dyDescent="0.25">
      <c r="B7" s="45" t="s">
        <v>123</v>
      </c>
      <c r="D7" s="46"/>
      <c r="E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1"/>
      <c r="AI7" s="1"/>
      <c r="AJ7" s="1"/>
    </row>
    <row r="8" spans="2:36" ht="15" customHeight="1" thickBot="1" x14ac:dyDescent="0.3">
      <c r="B8" s="59"/>
      <c r="C8" s="14"/>
      <c r="D8" s="113" t="s">
        <v>153</v>
      </c>
      <c r="E8" s="113" t="s">
        <v>155</v>
      </c>
      <c r="F8" s="113" t="s">
        <v>27</v>
      </c>
      <c r="G8" s="177" t="s">
        <v>28</v>
      </c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1"/>
      <c r="AF8" s="1"/>
      <c r="AG8" s="1"/>
      <c r="AH8" s="1"/>
      <c r="AI8" s="1"/>
      <c r="AJ8" s="1"/>
    </row>
    <row r="9" spans="2:36" ht="15" customHeight="1" thickTop="1" x14ac:dyDescent="0.25">
      <c r="B9" s="167" t="s">
        <v>163</v>
      </c>
      <c r="C9" s="167" t="s">
        <v>146</v>
      </c>
      <c r="D9" s="166" t="n">
        <v>4598.0</v>
      </c>
      <c r="E9" s="166" t="n">
        <v>3648.531971429</v>
      </c>
      <c r="F9" s="166">
        <f>D9-E9</f>
      </c>
      <c r="G9" s="176">
        <f>IF(E9=0,0,D9/E9-1)</f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1"/>
      <c r="AF9" s="1"/>
      <c r="AG9" s="1"/>
      <c r="AH9" s="1"/>
      <c r="AI9" s="1"/>
      <c r="AJ9" s="1"/>
    </row>
    <row r="10">
      <c r="B10" s="167" t="s">
        <v>151</v>
      </c>
      <c r="C10" s="167" t="s">
        <v>143</v>
      </c>
      <c r="D10" s="166" t="n">
        <v>2948.016</v>
      </c>
      <c r="E10" s="166" t="n">
        <v>2192.232785714</v>
      </c>
      <c r="F10" s="166">
        <f>D10-E10</f>
      </c>
      <c r="G10" s="176">
        <f>IF(E10=0,0,D10/E10-1)</f>
      </c>
    </row>
    <row r="11">
      <c r="B11" s="167" t="s">
        <v>161</v>
      </c>
      <c r="C11" s="167" t="s">
        <v>128</v>
      </c>
      <c r="D11" s="166" t="n">
        <v>263.22</v>
      </c>
      <c r="E11" s="166" t="n">
        <v>180.653691429</v>
      </c>
      <c r="F11" s="166">
        <f>D11-E11</f>
      </c>
      <c r="G11" s="176">
        <f>IF(E11=0,0,D11/E11-1)</f>
      </c>
    </row>
    <row r="12">
      <c r="B12" s="167" t="s">
        <v>164</v>
      </c>
      <c r="C12" s="167" t="s">
        <v>125</v>
      </c>
      <c r="D12" s="166" t="n">
        <v>1032.256</v>
      </c>
      <c r="E12" s="166" t="n">
        <v>783.144957143</v>
      </c>
      <c r="F12" s="166">
        <f>D12-E12</f>
      </c>
      <c r="G12" s="176">
        <f>IF(E12=0,0,D12/E12-1)</f>
      </c>
    </row>
    <row r="13">
      <c r="B13" s="167" t="s">
        <v>154</v>
      </c>
      <c r="C13" s="167" t="s">
        <v>127</v>
      </c>
      <c r="D13" s="166" t="n">
        <v>697.404</v>
      </c>
      <c r="E13" s="166" t="n">
        <v>468.0355</v>
      </c>
      <c r="F13" s="166">
        <f>D13-E13</f>
      </c>
      <c r="G13" s="176">
        <f>IF(E13=0,0,D13/E13-1)</f>
      </c>
    </row>
    <row r="14">
      <c r="B14" s="167" t="s">
        <v>159</v>
      </c>
      <c r="C14" s="167" t="s">
        <v>144</v>
      </c>
      <c r="D14" s="166" t="n">
        <v>1453.2448</v>
      </c>
      <c r="E14" s="166" t="n">
        <v>895.95532</v>
      </c>
      <c r="F14" s="166">
        <f>D14-E14</f>
      </c>
      <c r="G14" s="176">
        <f>IF(E14=0,0,D14/E14-1)</f>
      </c>
    </row>
    <row r="15">
      <c r="B15" s="167" t="s">
        <v>160</v>
      </c>
      <c r="C15" s="167" t="s">
        <v>147</v>
      </c>
      <c r="D15" s="166" t="n">
        <v>51956.0</v>
      </c>
      <c r="E15" s="166" t="n">
        <v>30747.26</v>
      </c>
      <c r="F15" s="166">
        <f>D15-E15</f>
      </c>
      <c r="G15" s="176">
        <f>IF(E15=0,0,D15/E15-1)</f>
      </c>
    </row>
    <row r="16">
      <c r="B16" s="167" t="s">
        <v>156</v>
      </c>
      <c r="C16" s="167" t="s">
        <v>132</v>
      </c>
      <c r="D16" s="166" t="n">
        <v>15882.52</v>
      </c>
      <c r="E16" s="166" t="n">
        <v>10174.486257143</v>
      </c>
      <c r="F16" s="166">
        <f>D16-E16</f>
      </c>
      <c r="G16" s="176">
        <f>IF(E16=0,0,D16/E16-1)</f>
      </c>
    </row>
    <row r="17">
      <c r="B17" s="167" t="s">
        <v>152</v>
      </c>
      <c r="C17" s="167" t="s">
        <v>142</v>
      </c>
      <c r="D17" s="166" t="n">
        <v>13487.52</v>
      </c>
      <c r="E17" s="166" t="n">
        <v>7871.007</v>
      </c>
      <c r="F17" s="166">
        <f>D17-E17</f>
      </c>
      <c r="G17" s="176">
        <f>IF(E17=0,0,D17/E17-1)</f>
      </c>
    </row>
    <row r="18">
      <c r="B18" s="167" t="s">
        <v>157</v>
      </c>
      <c r="C18" s="167" t="s">
        <v>124</v>
      </c>
      <c r="D18" s="166" t="n">
        <v>7081.4648</v>
      </c>
      <c r="E18" s="166" t="n">
        <v>4563.332</v>
      </c>
      <c r="F18" s="166">
        <f>D18-E18</f>
      </c>
      <c r="G18" s="176">
        <f>IF(E18=0,0,D18/E18-1)</f>
      </c>
    </row>
    <row r="19">
      <c r="B19" s="167" t="s">
        <v>165</v>
      </c>
      <c r="C19" s="167" t="s">
        <v>141</v>
      </c>
      <c r="D19" s="166" t="n">
        <v>1300.756</v>
      </c>
      <c r="E19" s="166" t="n">
        <v>976.5968</v>
      </c>
      <c r="F19" s="166">
        <f>D19-E19</f>
      </c>
      <c r="G19" s="176">
        <f>IF(E19=0,0,D19/E19-1)</f>
      </c>
    </row>
    <row r="20">
      <c r="B20" s="167" t="s">
        <v>166</v>
      </c>
      <c r="C20" s="167" t="s">
        <v>136</v>
      </c>
      <c r="D20" s="166" t="n">
        <v>12193.6</v>
      </c>
      <c r="E20" s="166" t="n">
        <v>8575.846181818</v>
      </c>
      <c r="F20" s="166">
        <f>D20-E20</f>
      </c>
      <c r="G20" s="176">
        <f>IF(E20=0,0,D20/E20-1)</f>
      </c>
    </row>
    <row r="21">
      <c r="B21" s="167" t="s">
        <v>158</v>
      </c>
      <c r="C21" s="167" t="s">
        <v>129</v>
      </c>
      <c r="D21" s="166" t="n">
        <v>7466.92</v>
      </c>
      <c r="E21" s="166" t="n">
        <v>5493.2736</v>
      </c>
      <c r="F21" s="166">
        <f>D21-E21</f>
      </c>
      <c r="G21" s="176">
        <f>IF(E21=0,0,D21/E21-1)</f>
      </c>
    </row>
    <row r="22">
      <c r="B22" s="167" t="s">
        <v>162</v>
      </c>
      <c r="C22" s="167" t="s">
        <v>145</v>
      </c>
      <c r="D22" s="166" t="n">
        <v>539.46</v>
      </c>
      <c r="E22" s="166" t="n">
        <v>520.0</v>
      </c>
      <c r="F22" s="166">
        <f>D22-E22</f>
      </c>
      <c r="G22" s="176">
        <f>IF(E22=0,0,D22/E22-1)</f>
      </c>
    </row>
    <row r="23" spans="2:36" ht="15" customHeight="1" x14ac:dyDescent="0.25">
      <c r="B23" s="48"/>
      <c r="C23" s="48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1"/>
      <c r="AF23" s="1"/>
      <c r="AG23" s="1"/>
      <c r="AH23" s="1"/>
      <c r="AI23" s="1"/>
      <c r="AJ23" s="1"/>
    </row>
    <row r="24" spans="2:36" ht="15" customHeight="1" x14ac:dyDescent="0.25">
      <c r="B24" s="51"/>
      <c r="C24" s="51"/>
      <c r="D24" s="51"/>
      <c r="E24" s="32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41"/>
      <c r="AB24" s="41"/>
      <c r="AC24" s="1"/>
      <c r="AD24" s="1"/>
      <c r="AE24" s="1"/>
      <c r="AF24" s="1"/>
      <c r="AG24" s="1"/>
      <c r="AH24" s="1"/>
      <c r="AI24" s="1"/>
      <c r="AJ24" s="1"/>
    </row>
    <row r="25" spans="2:36" ht="15" customHeight="1" x14ac:dyDescent="0.25">
      <c r="B25" s="51"/>
      <c r="C25" s="51"/>
      <c r="D25" s="51"/>
      <c r="E25" s="32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41"/>
      <c r="AB25" s="41"/>
      <c r="AC25" s="1"/>
      <c r="AD25" s="1"/>
      <c r="AE25" s="1"/>
      <c r="AF25" s="1"/>
      <c r="AG25" s="1"/>
      <c r="AH25" s="1"/>
      <c r="AI25" s="1"/>
      <c r="AJ25" s="1"/>
    </row>
    <row r="26" spans="2:36" ht="15" customHeight="1" x14ac:dyDescent="0.25">
      <c r="B26" s="51"/>
      <c r="C26" s="51"/>
      <c r="D26" s="51"/>
      <c r="E26" s="32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41"/>
      <c r="AB26" s="41"/>
      <c r="AC26" s="1"/>
      <c r="AD26" s="1"/>
      <c r="AE26" s="1"/>
      <c r="AF26" s="1"/>
      <c r="AG26" s="1"/>
      <c r="AH26" s="1"/>
      <c r="AI26" s="1"/>
      <c r="AJ26" s="1"/>
    </row>
    <row r="27" spans="2:36" ht="15" customHeight="1" x14ac:dyDescent="0.25">
      <c r="B27" s="51"/>
      <c r="C27" s="51"/>
      <c r="D27" s="51"/>
      <c r="E27" s="32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41"/>
      <c r="AB27" s="41"/>
      <c r="AC27" s="1"/>
      <c r="AD27" s="1"/>
      <c r="AE27" s="1"/>
      <c r="AF27" s="1"/>
      <c r="AG27" s="1"/>
      <c r="AH27" s="1"/>
      <c r="AI27" s="1"/>
      <c r="AJ27" s="1"/>
    </row>
    <row r="28" spans="2:36" ht="15" customHeight="1" x14ac:dyDescent="0.25">
      <c r="B28" s="51"/>
      <c r="C28" s="51"/>
      <c r="D28" s="51"/>
      <c r="E28" s="32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41"/>
      <c r="AB28" s="41"/>
      <c r="AC28" s="1"/>
      <c r="AD28" s="1"/>
      <c r="AE28" s="1"/>
      <c r="AF28" s="1"/>
      <c r="AG28" s="1"/>
      <c r="AH28" s="1"/>
      <c r="AI28" s="1"/>
      <c r="AJ28" s="1"/>
    </row>
    <row r="29" spans="2:36" ht="15" customHeight="1" x14ac:dyDescent="0.25">
      <c r="B29" s="51"/>
      <c r="C29" s="51"/>
      <c r="D29" s="51"/>
      <c r="E29" s="32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41"/>
      <c r="AB29" s="41"/>
      <c r="AC29" s="1"/>
      <c r="AD29" s="1"/>
      <c r="AE29" s="1"/>
      <c r="AF29" s="1"/>
      <c r="AG29" s="1"/>
      <c r="AH29" s="1"/>
      <c r="AI29" s="1"/>
      <c r="AJ29" s="1"/>
    </row>
    <row r="30" spans="2:36" ht="15" customHeight="1" x14ac:dyDescent="0.25">
      <c r="B30" s="51"/>
      <c r="C30" s="51"/>
      <c r="D30" s="51"/>
      <c r="E30" s="32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41"/>
      <c r="AB30" s="41"/>
      <c r="AC30" s="1"/>
      <c r="AD30" s="1"/>
      <c r="AE30" s="1"/>
      <c r="AF30" s="1"/>
      <c r="AG30" s="1"/>
      <c r="AH30" s="1"/>
      <c r="AI30" s="1"/>
      <c r="AJ30" s="1"/>
    </row>
    <row r="31" spans="2:36" ht="15" customHeight="1" x14ac:dyDescent="0.25">
      <c r="B31" s="51"/>
      <c r="C31" s="51"/>
      <c r="D31" s="51"/>
      <c r="E31" s="32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41"/>
      <c r="AB31" s="41"/>
      <c r="AC31" s="1"/>
      <c r="AD31" s="1"/>
      <c r="AE31" s="1"/>
      <c r="AF31" s="1"/>
      <c r="AG31" s="1"/>
      <c r="AH31" s="1"/>
      <c r="AI31" s="1"/>
      <c r="AJ31" s="1"/>
    </row>
    <row r="32" spans="2:36" ht="15" customHeight="1" x14ac:dyDescent="0.25">
      <c r="B32" s="51"/>
      <c r="C32" s="51"/>
      <c r="D32" s="51"/>
      <c r="E32" s="32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41"/>
      <c r="AB32" s="41"/>
      <c r="AC32" s="1"/>
      <c r="AD32" s="1"/>
      <c r="AE32" s="1"/>
      <c r="AF32" s="1"/>
      <c r="AG32" s="1"/>
      <c r="AH32" s="1"/>
      <c r="AI32" s="1"/>
      <c r="AJ32" s="1"/>
    </row>
    <row r="33" spans="2:36" ht="15" customHeight="1" x14ac:dyDescent="0.25">
      <c r="B33" s="51"/>
      <c r="C33" s="51"/>
      <c r="D33" s="51"/>
      <c r="E33" s="32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41"/>
      <c r="AB33" s="41"/>
      <c r="AC33" s="1"/>
      <c r="AD33" s="1"/>
      <c r="AE33" s="1"/>
      <c r="AF33" s="1"/>
      <c r="AG33" s="1"/>
      <c r="AH33" s="1"/>
      <c r="AI33" s="1"/>
      <c r="AJ33" s="1"/>
    </row>
    <row r="34" spans="2:36" ht="15" customHeight="1" x14ac:dyDescent="0.25">
      <c r="B34" s="51"/>
      <c r="C34" s="51"/>
      <c r="D34" s="51"/>
      <c r="E34" s="32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2:36" ht="15" customHeight="1" x14ac:dyDescent="0.25">
      <c r="B35" s="51"/>
      <c r="C35" s="51"/>
      <c r="D35" s="51"/>
      <c r="E35" s="32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2:36" ht="15" customHeight="1" x14ac:dyDescent="0.25">
      <c r="B36" s="51"/>
      <c r="C36" s="51"/>
      <c r="D36" s="51"/>
      <c r="E36" s="32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2:36" ht="15" customHeight="1" x14ac:dyDescent="0.25">
      <c r="B37" s="51"/>
      <c r="C37" s="51"/>
      <c r="D37" s="51"/>
      <c r="E37" s="32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2:36" ht="15" customHeight="1" x14ac:dyDescent="0.25">
      <c r="B38" s="51"/>
      <c r="C38" s="51"/>
      <c r="D38" s="51"/>
      <c r="E38" s="32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2:36" ht="15" customHeight="1" x14ac:dyDescent="0.25">
      <c r="B39" s="51"/>
      <c r="C39" s="51"/>
      <c r="D39" s="51"/>
      <c r="E39" s="32"/>
      <c r="F39" s="51"/>
      <c r="G39" s="51"/>
      <c r="AG39" s="1"/>
      <c r="AH39" s="1"/>
      <c r="AI39" s="1"/>
      <c r="AJ39" s="1"/>
    </row>
    <row r="40" spans="2:36" ht="15" customHeight="1" x14ac:dyDescent="0.25">
      <c r="B40" s="51"/>
      <c r="C40" s="51"/>
      <c r="D40" s="51"/>
      <c r="E40" s="32"/>
      <c r="F40" s="51"/>
      <c r="G40" s="51"/>
      <c r="AG40" s="1"/>
      <c r="AH40" s="1"/>
      <c r="AI40" s="1"/>
      <c r="AJ40" s="1"/>
    </row>
    <row r="41" spans="2:36" ht="15" customHeight="1" x14ac:dyDescent="0.25">
      <c r="B41" s="51"/>
      <c r="C41" s="51"/>
      <c r="D41" s="51"/>
      <c r="E41" s="32"/>
      <c r="F41" s="51"/>
      <c r="G41" s="51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3"/>
      <c r="AB41" s="53"/>
      <c r="AC41" s="53"/>
      <c r="AD41" s="53"/>
      <c r="AE41" s="54"/>
      <c r="AF41" s="55"/>
      <c r="AG41" s="1"/>
      <c r="AH41" s="1"/>
      <c r="AI41" s="1"/>
      <c r="AJ41" s="1"/>
    </row>
    <row r="42" spans="2:36" ht="15" customHeight="1" x14ac:dyDescent="0.25">
      <c r="B42" s="51"/>
      <c r="C42" s="51"/>
      <c r="D42" s="51"/>
      <c r="E42" s="32"/>
      <c r="F42" s="51"/>
      <c r="G42" s="51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3"/>
      <c r="AB42" s="53"/>
      <c r="AC42" s="53"/>
      <c r="AD42" s="53"/>
      <c r="AE42" s="74"/>
      <c r="AF42" s="74"/>
      <c r="AG42" s="74"/>
      <c r="AH42" s="74"/>
      <c r="AI42" s="74"/>
      <c r="AJ42" s="1"/>
    </row>
    <row r="43" spans="2:36" ht="15" customHeight="1" x14ac:dyDescent="0.25">
      <c r="B43" s="51"/>
      <c r="C43" s="51"/>
      <c r="D43" s="51"/>
      <c r="E43" s="32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2:36" ht="15" customHeight="1" x14ac:dyDescent="0.25">
      <c r="B44" s="51"/>
      <c r="C44" s="51"/>
      <c r="D44" s="51"/>
      <c r="E44" s="32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2:36" ht="15" customHeight="1" x14ac:dyDescent="0.25">
      <c r="B45" s="51"/>
      <c r="C45" s="51"/>
      <c r="D45" s="51"/>
      <c r="E45" s="32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ht="15" customHeight="1" x14ac:dyDescent="0.25">
      <c r="B46" s="51"/>
      <c r="C46" s="51"/>
      <c r="D46" s="51"/>
      <c r="E46" s="32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36" ht="15" customHeight="1" x14ac:dyDescent="0.25">
      <c r="B47" s="56"/>
      <c r="C47" s="56"/>
      <c r="D47" s="56"/>
      <c r="E47" s="32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2:36" ht="15" customHeight="1" x14ac:dyDescent="0.25">
      <c r="B48" s="56"/>
      <c r="C48" s="56"/>
      <c r="D48" s="56"/>
      <c r="E48" s="32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2:36" ht="15" customHeight="1" x14ac:dyDescent="0.25">
      <c r="B49" s="56"/>
      <c r="C49" s="56"/>
      <c r="D49" s="56"/>
      <c r="E49" s="32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2:36" ht="15" customHeight="1" x14ac:dyDescent="0.25">
      <c r="B50" s="58"/>
      <c r="C50" s="58"/>
      <c r="D50" s="58"/>
      <c r="E50" s="32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2:36" ht="15" customHeight="1" x14ac:dyDescent="0.25">
      <c r="B51" s="58"/>
      <c r="C51" s="58"/>
      <c r="D51" s="58"/>
      <c r="E51" s="32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2:36" x14ac:dyDescent="0.25">
      <c r="B52" s="58"/>
      <c r="C52" s="58"/>
      <c r="D52" s="58"/>
      <c r="E52" s="32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2:36" x14ac:dyDescent="0.25">
      <c r="B53" s="58"/>
      <c r="C53" s="58"/>
      <c r="D53" s="58"/>
      <c r="E53" s="32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2:36" x14ac:dyDescent="0.25">
      <c r="B54" s="58"/>
      <c r="C54" s="58"/>
      <c r="D54" s="58"/>
      <c r="E54" s="32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2:36" x14ac:dyDescent="0.25">
      <c r="B55" s="58"/>
      <c r="C55" s="58"/>
      <c r="D55" s="58"/>
      <c r="E55" s="32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2:36" x14ac:dyDescent="0.25">
      <c r="B56" s="58"/>
      <c r="C56" s="58"/>
      <c r="D56" s="58"/>
      <c r="E56" s="32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2:36" x14ac:dyDescent="0.25">
      <c r="B57" s="58"/>
      <c r="C57" s="58"/>
      <c r="D57" s="58"/>
      <c r="E57" s="32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2:36" x14ac:dyDescent="0.25">
      <c r="E58" s="32"/>
    </row>
    <row r="59" spans="2:36" x14ac:dyDescent="0.25">
      <c r="E59" s="32"/>
    </row>
    <row r="60" spans="2:36" x14ac:dyDescent="0.25">
      <c r="E60" s="32"/>
    </row>
    <row r="61" spans="2:36" x14ac:dyDescent="0.25">
      <c r="E61" s="32"/>
    </row>
    <row r="62" spans="5:5" x14ac:dyDescent="0.25">
      <c r="E62" s="32"/>
    </row>
    <row r="63" spans="5:5" x14ac:dyDescent="0.25">
      <c r="E63" s="32"/>
    </row>
    <row r="64" spans="5:5" x14ac:dyDescent="0.25">
      <c r="E64" s="32"/>
    </row>
    <row r="65" spans="5:5" x14ac:dyDescent="0.25">
      <c r="E65" s="32"/>
    </row>
    <row r="66" spans="5:5" x14ac:dyDescent="0.25">
      <c r="E66" s="32"/>
    </row>
    <row r="67" spans="5:5" x14ac:dyDescent="0.25">
      <c r="E67" s="32"/>
    </row>
    <row r="68" spans="5:5" x14ac:dyDescent="0.25">
      <c r="E68" s="32"/>
    </row>
  </sheetData>
  <mergeCells count="5">
    <mergeCell ref="B5:D5"/>
    <mergeCell ref="F5:H5"/>
    <mergeCell ref="B6:D6"/>
    <mergeCell ref="F6:H6"/>
    <mergeCell ref="AE42:AI42"/>
  </mergeCells>
  <conditionalFormatting sqref="H9:H2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{A7373D78-CF46-4503-97EE-088B37BC9618}</x14:id>
        </ext>
      </extLst>
    </cfRule>
  </conditionalFormatting>
  <hyperlinks>
    <hyperlink display="Open Form (B110_100)" tooltip="Open Form (B110_100)" location="" ref="F5"/>
    <hyperlink display="Open Form (B110_102)" tooltip="Open Form (B110_102)" location="" ref="F6"/>
    <hyperlink display="Open Form (B110_101B)" tooltip="Open Form (B110_101B)" location="" ref="F4"/>
  </hyperlinks>
  <pageMargins left="0.75" right="0.75" top="1" bottom="1" header="0.5" footer="0.5"/>
  <pageSetup paperSize="9" orientation="portrait" verticalDpi="0" r:id="rId1"/>
  <headerFooter alignWithMargins="0"/>
  <customProperties>
    <customPr name="TGK_SHEET_ID" r:id="rId2"/>
  </customPropertie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73D78-CF46-4503-97EE-088B37BC9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H9:H10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/>
  </sheetData>
  <pageMargins bottom="0.75" footer="0.3" header="0.3" left="0.7" right="0.7" top="0.75"/>
</worksheet>
</file>

<file path=customXml/_rels/item1.xml.rels><?xml version="1.0" encoding="UTF-8"?>

<Relationships xmlns="http://schemas.openxmlformats.org/package/2006/relationships">
  <Relationship Id="rId1" Type="http://schemas.openxmlformats.org/officeDocument/2006/relationships/customXmlProps" Target="itemProps1.xml"/>
</Relationships>

</file>

<file path=customXml/item1.xml><?xml version="1.0" encoding="utf-8"?>
<easyPacket version="1.0">
  <header/>
  <data>
    <be clsId="Reporting.com.tagetik.report.ConvertedMultiTemplateReportVO,Reporting" refId="0">
      <m key="templateLayouts" refId="1">
        <key>
          <s>Template00</s>
        </key>
        <value>
          <be clsId="ReportTemplateLayoutVO" refId="2">
            <m key="queryGridReaders" refId="3"/>
            <m key="hyperlinkAddresses" refId="4">
              <key>
                <s>Hyperlink00</s>
              </key>
              <value>
                <be clsId="ExcelCompactGridReaderVO" refId="5">
                  <be key="element" clsId="BasicLogicalElement" refId="6">
                    <i key="valueRows">1</i>
                    <i key="valueColumns">1</i>
                    <i key="rowHeadersCount">0</i>
                    <i key="columnHeadersCount">0</i>
                  </be>
                  <s key="firstCell">F5</s>
                </be>
              </value>
              <key>
                <s>Hyperlink01</s>
              </key>
              <value>
                <be clsId="ExcelCompactGridReaderVO" refId="7">
                  <be key="element" clsId="BasicLogicalElement" refId="8">
                    <i key="valueRows">1</i>
                    <i key="valueColumns">1</i>
                    <i key="rowHeadersCount">0</i>
                    <i key="columnHeadersCount">0</i>
                  </be>
                  <s key="firstCell">F6</s>
                </be>
              </value>
              <key>
                <s>Hyperlink02</s>
              </key>
              <value>
                <be clsId="ExcelCompactGridReaderVO" refId="9">
                  <be key="element" clsId="BasicLogicalElement" refId="10">
                    <i key="valueRows">1</i>
                    <i key="valueColumns">1</i>
                    <i key="rowHeadersCount">0</i>
                    <i key="columnHeadersCount">0</i>
                  </be>
                  <s key="firstCell">F4</s>
                </be>
              </value>
            </m>
            <i key="index">1</i>
            <m key="controlExpressionsAddresses" refId="11"/>
            <m key="inlineParameterAddresses" refId="12">
              <key>
                <s>InlineParameter00</s>
              </key>
              <value>
                <be clsId="ExcelCompactGridReaderVO" refId="13">
                  <be key="element" clsId="BasicLogicalElement" refId="14">
                    <i key="valueRows">1</i>
                    <i key="valueColumns">1</i>
                    <i key="rowHeadersCount">0</i>
                    <i key="columnHeadersCount">0</i>
                  </be>
                  <s key="firstCell">B5</s>
                </be>
              </value>
              <key>
                <s>InlineParameter01</s>
              </key>
              <value>
                <be clsId="ExcelCompactGridReaderVO" refId="15">
                  <be key="element" clsId="BasicLogicalElement" refId="16">
                    <i key="valueRows">1</i>
                    <i key="valueColumns">1</i>
                    <i key="rowHeadersCount">0</i>
                    <i key="columnHeadersCount">0</i>
                  </be>
                  <s key="firstCell">B6</s>
                </be>
              </value>
            </m>
            <m key="dictionaryAddresses" refId="17"/>
            <m key="matrixGridReaders" refId="18">
              <key>
                <s>UNIT PRICES &amp; COSTS</s>
              </key>
              <value>
                <be clsId="ExcelCompactGridReaderVO" refId="19">
                  <be key="element" clsId="BasicLogicalElement" refId="20">
                    <i key="valueRows">1</i>
                    <i key="valueColumns">4</i>
                    <i key="rowHeadersCount">2</i>
                    <i key="columnHeadersCount">1</i>
                  </be>
                  <s key="firstCell">B8</s>
                </be>
              </value>
            </m>
            <s key="code">Template00</s>
            <m key="cellFieldAddresses" refId="21">
              <key>
                <s>$D$6</s>
              </key>
              <value>
                <be clsId="ExcelCompactGridReaderVO" refId="22">
                  <be key="element" clsId="BasicLogicalElement" refId="23">
                    <i key="valueRows">1</i>
                    <i key="valueColumns">1</i>
                    <i key="rowHeadersCount">0</i>
                    <i key="columnHeadersCount">0</i>
                  </be>
                  <s key="firstCell">B7</s>
                </be>
              </value>
              <key>
                <s>$D$3</s>
              </key>
              <value>
                <be clsId="ExcelCompactGridReaderVO" refId="24">
                  <be key="element" clsId="BasicLogicalElement" refId="25">
                    <i key="valueRows">1</i>
                    <i key="valueColumns">1</i>
                    <i key="rowHeadersCount">0</i>
                    <i key="columnHeadersCount">0</i>
                  </be>
                  <s key="firstCell">D4</s>
                </be>
              </value>
            </m>
          </be>
        </value>
        <key>
          <s>template</s>
        </key>
        <value>
          <be clsId="ReportTemplateLayoutVO" refId="26">
            <m key="queryGridReaders" refId="27"/>
            <m key="hyperlinkAddresses" refId="28">
              <key>
                <s>Hyperlink00</s>
              </key>
              <value>
                <be clsId="ExcelCompactGridReaderVO" refId="29">
                  <be key="element" clsId="BasicLogicalElement" refId="30">
                    <i key="valueRows">1</i>
                    <i key="valueColumns">1</i>
                    <i key="rowHeadersCount">0</i>
                    <i key="columnHeadersCount">0</i>
                  </be>
                  <s key="firstCell">N6</s>
                </be>
              </value>
              <key>
                <s>Hyperlink01</s>
              </key>
              <value>
                <be clsId="ExcelCompactGridReaderVO" refId="31">
                  <be key="element" clsId="BasicLogicalElement" refId="32">
                    <i key="valueRows">1</i>
                    <i key="valueColumns">1</i>
                    <i key="rowHeadersCount">0</i>
                    <i key="columnHeadersCount">0</i>
                  </be>
                  <s key="firstCell">N2</s>
                </be>
              </value>
            </m>
            <i key="index">0</i>
            <m key="controlExpressionsAddresses" refId="33"/>
            <m key="inlineParameterAddresses" refId="34">
              <key>
                <s>InlineParameter00</s>
              </key>
              <value>
                <be clsId="ExcelCompactGridReaderVO" refId="35">
                  <be key="element" clsId="BasicLogicalElement" refId="36">
                    <i key="valueRows">1</i>
                    <i key="valueColumns">1</i>
                    <i key="rowHeadersCount">0</i>
                    <i key="columnHeadersCount">0</i>
                  </be>
                  <s key="firstCell">C5</s>
                </be>
              </value>
              <key>
                <s>InlineParameter01</s>
              </key>
              <value>
                <be clsId="ExcelCompactGridReaderVO" refId="37">
                  <be key="element" clsId="BasicLogicalElement" refId="38">
                    <i key="valueRows">1</i>
                    <i key="valueColumns">1</i>
                    <i key="rowHeadersCount">0</i>
                    <i key="columnHeadersCount">0</i>
                  </be>
                  <s key="firstCell">C6</s>
                </be>
              </value>
            </m>
            <m key="dictionaryAddresses" refId="39"/>
            <m key="matrixGridReaders" refId="40">
              <key>
                <s>QUANTITY</s>
              </key>
              <value>
                <be clsId="ExcelCompactGridReaderVO" refId="41">
                  <be key="element" clsId="BasicLogicalElement" refId="42">
                    <i key="valueRows">2</i>
                    <i key="valueColumns">15</i>
                    <i key="rowHeadersCount">1</i>
                    <i key="columnHeadersCount">2</i>
                  </be>
                  <s key="firstCell">C13</s>
                </be>
              </value>
            </m>
            <s key="code">template</s>
            <m key="cellFieldAddresses" refId="43">
              <key>
                <s>$B$3</s>
              </key>
              <value>
                <be clsId="ExcelCompactGridReaderVO" refId="44">
                  <be key="element" clsId="BasicLogicalElement" refId="45">
                    <i key="valueRows">1</i>
                    <i key="valueColumns">1</i>
                    <i key="rowHeadersCount">0</i>
                    <i key="columnHeadersCount">0</i>
                  </be>
                  <s key="firstCell">G5</s>
                </be>
              </value>
              <key>
                <s>$B$7</s>
              </key>
              <value>
                <be clsId="ExcelCompactGridReaderVO" refId="46">
                  <be key="element" clsId="BasicLogicalElement" refId="47">
                    <i key="valueRows">1</i>
                    <i key="valueColumns">1</i>
                    <i key="rowHeadersCount">0</i>
                    <i key="columnHeadersCount">0</i>
                  </be>
                  <s key="firstCell">C7</s>
                </be>
              </value>
              <key>
                <s>$B$6</s>
              </key>
              <value>
                <be clsId="ExcelCompactGridReaderVO" refId="48">
                  <be key="element" clsId="BasicLogicalElement" refId="49">
                    <i key="valueRows">1</i>
                    <i key="valueColumns">1</i>
                    <i key="rowHeadersCount">0</i>
                    <i key="columnHeadersCount">0</i>
                  </be>
                  <s key="firstCell">C5</s>
                </be>
              </value>
            </m>
          </be>
        </value>
      </m>
      <d key="dateStyleApplied">1405955863381</d>
      <m key="adHocParameters" refId="50"/>
      <be key="reportLogger" clsId="ReportLogger" refId="51">
        <m key="matrixLoggers" refId="52">
          <key>
            <s>&lt;Sheet filters&gt;</s>
          </key>
          <value>
            <be clsId="MatrixLogger" refId="53">
              <be key="colsLogger" clsId="ReportingElementLogger" refId="54">
                <set key="errors" ln="0" refId="55"/>
                <set key="warnings" ln="0" refId="56"/>
              </be>
              <s key="code">&lt;Sheet filters&gt;</s>
              <set key="warnings" ln="0" refId="57"/>
              <be key="rowsLogger" clsId="ReportingElementLogger" refId="58">
                <set key="errors" ln="0" refId="59"/>
                <set key="warnings" ln="0" refId="60"/>
              </be>
            </be>
          </value>
          <key>
            <s>QUANTITY</s>
          </key>
          <value>
            <be clsId="MatrixLogger" refId="61">
              <be key="colsLogger" clsId="ReportingElementLogger" refId="62">
                <set key="errors" ln="0" refId="63"/>
                <set key="warnings" ln="0" refId="64"/>
              </be>
              <s key="code">QUANTITY</s>
              <set key="warnings" ln="0" refId="65"/>
              <be key="rowsLogger" clsId="ReportingElementLogger" refId="66">
                <set key="errors" ln="0" refId="67"/>
                <set key="warnings" ln="0" refId="68"/>
              </be>
            </be>
          </value>
        </m>
        <set key="errors" ln="0" refId="69"/>
        <be key="fgdLogger" clsId="ReportingElementLogger" refId="70">
          <set key="errors" ln="0" refId="71"/>
          <set key="warnings" ln="0" refId="72"/>
        </be>
        <set key="warnings" ln="0" refId="73"/>
        <be key="sheetLogger" clsId="ReportingElementLogger" refId="74">
          <set key="errors" ln="0" refId="75"/>
          <set key="warnings" ln="0" refId="76"/>
        </be>
      </be>
      <a key="desc" refId="77" ln="4" eid="SYS_STR">
        <s>Quantity</s>
        <s>Quantity</s>
        <s>Quantity</s>
        <nl/>
      </a>
      <m key="templates" refId="78">
        <key>
          <s>template</s>
        </key>
        <value>
          <be clsId="ReportTemplateVO" refId="79">
            <m key="controlExpressions" refId="80"/>
            <s key="desc">Product Quantity</s>
            <l key="pivots" ln="0" refId="81"/>
            <s key="code">template</s>
            <m key="dictionary" refId="82"/>
            <be key="sheets" clsId="FilterNode" refId="83">
              <l key="AdHocParamDimensionOids" ln="0" refId="84"/>
              <cust key="id" clsId="FilterOid">1</cust>
              <i key="index">0</i>
              <s key="desc">Tab filters</s>
              <be key="data" clsId="FilterNodeData" refId="85">
                <b key="breakLevelSubtotal">N</b>
                <e key="weight" id="WeightEnum" refId="86">S</e>
                <e key="segment" id="SegmentEnum" refId="87">CF</e>
                <e key="change" id="ChangeEnum" refId="88">CHG_CF</e>
                <b key="prevailingDataType">N</b>
                <be key="filterNode" clsId="FilterNode" refId="89">
                  <l key="AdHocParamDimensionOids" ln="0" refId="90"/>
                  <cust key="id" clsId="FilterOid">1</cust>
                  <i key="index">0</i>
                  <be key="data" clsId="FilterNodeData" refId="91">
                    <b key="breakLevelSubtotal">N</b>
                    <ref key="weight" refId="86"/>
                    <ref key="segment" refId="87"/>
                    <ref key="change" refId="88"/>
                    <b key="prevailingDataType">N</b>
                    <ref key="filterNode" refId="89"/>
                    <i key="segmentLevel">0</i>
                    <b key="signChange">N</b>
                    <b key="complementary">N</b>
                    <b key="applyFiltersForForcedScenarioPeriodoMap">N</b>
                    <b key="lineSplit">N</b>
                    <b key="addRCRow">N</b>
                    <e key="editability" id="EditableEnum" refId="92">X</e>
                    <b key="nativeSignChange">N</b>
                    <b key="placeHolder">N</b>
                    <e key="dataType" id="DataType" refId="93">TYPE_U</e>
                    <i key="sco">0</i>
                  </be>
                  <l key="children" ln="0" refId="94"/>
                  <b key="leaf">N</b>
                  <l key="dimensionOids" ln="0" refId="95"/>
                </be>
                <i key="segmentLevel">0</i>
                <b key="signChange">N</b>
                <b key="complementary">N</b>
                <b key="applyFiltersForForcedScenarioPeriodoMap">N</b>
                <b key="lineSplit">N</b>
                <b key="addRCRow">N</b>
                <ref key="editability" refId="92"/>
                <b key="nativeSignChange">N</b>
                <b key="placeHolder">N</b>
                <ref key="dataType" refId="93"/>
                <i key="sco">0</i>
              </be>
              <l key="children" ln="0" refId="96"/>
              <b key="leaf">N</b>
              <l key="dimensionOids" ln="0" refId="97"/>
            </be>
            <m key="cellFields" refId="98">
              <key>
                <s>$B$3</s>
              </key>
              <value>
                <be clsId="CodeCellField" refId="99">
                  <s key="cellField">report.desc</s>
                  <s key="code">$B$3</s>
                </be>
              </value>
              <key>
                <s>$B$7</s>
              </key>
              <value>
                <be clsId="CodeCellField" refId="100">
                  <s key="cellField">$Scenario.desc</s>
                  <s key="code">$B$7</s>
                </be>
              </value>
              <key>
                <s>$B$6</s>
              </key>
              <value>
                <be clsId="CodeCellField" refId="101">
                  <s key="cellField">$Entity(FALSE).desc</s>
                  <s key="code">$B$6</s>
                </be>
              </value>
            </m>
            <l key="charts" ln="0" refId="102"/>
            <m key="launchers" refId="103">
              <key>
                <s>PXQ_SALES_DEDUCT</s>
              </key>
              <value>
                <be clsId="ElaborationsLauncher" refId="104">
                  <b key="skipSheetFilters">N</b>
                  <b key="refreshTree">N</b>
                  <b key="createButton">N</b>
                  <i key="index">0</i>
                  <a key="elaborations" refId="105" ln="2" eid="SYS_STR">
                    <s>435253-45-43414C43554C415445445F4143434F554E54535F454C4142---</s>
                    <s>435253-4E-43414C43554C415445445F4143434F554E5453---</s>
                  </a>
                  <b key="useModifiedCellFilters">N</b>
                  <b key="onSave">S</b>
                  <b key="refreshReport">N</b>
                  <m key="parameterValues" refId="106">
                    <key>
                      <s>dest2List</s>
                    </key>
                    <value>
                      <be clsId="StringParameterValue" refId="107">
                        <s key="Value">${AUTO}</s>
                        <e key="ParamSetType" id="ParamSetType" refId="108">AUTOMATICO</e>
                      </be>
                    </value>
                    <key>
                      <s>scenarioPeriodoOriginarioList.periodo</s>
                    </key>
                    <value>
                      <be clsId="StringParameterValue" refId="109">
                        <s key="Value">01,02,03,04,05,06,07,08,09,10,11,12</s>
                        <e key="ParamSetType" id="ParamSetType" refId="110">ESPLICITA_DIGITA</e>
                      </be>
                    </value>
                    <key>
                      <s>contoCalcolatoDati</s>
                    </key>
                    <value>
                      <be clsId="StringParameterValue" refId="111">
                        <s key="Value">False</s>
                        <e key="ParamSetType" id="ParamSetType" refId="112">ESPLICITA_SELEZIONA</e>
                      </be>
                    </value>
                    <key>
                      <s>aziendaElegerConsolidatoreList</s>
                    </key>
                    <value>
                      <be clsId="FilterNodeParameterValue" refId="113">
                        <ref key="ParamSetType" refId="112"/>
                      </be>
                    </value>
                    <key>
                      <s>tipoDatoFormula</s>
                    </key>
                    <value>
                      <be clsId="StringParameterValue" refId="114">
                        <s key="Value">X</s>
                        <ref key="ParamSetType" refId="112"/>
                      </be>
                    </value>
                    <key>
                      <s>dest3List</s>
                    </key>
                    <value>
                      <be clsId="FilterNodeParameterValue" refId="115">
                        <be key="Value" clsId="FilterNode" refId="116">
                          <l key="AdHocParamDimensionOids" ln="0" refId="117"/>
                          <cust key="id" clsId="FilterOid">2</cust>
                          <i key="index">0</i>
                          <s key="desc"/>
                          <s key="cod"/>
                          <be key="data" clsId="FilterNodeData" refId="118">
                            <b key="breakLevelSubtotal">N</b>
                            <ref key="weight" refId="86"/>
                            <e key="segment" id="SegmentEnum" refId="119">N</e>
                            <e key="change" id="ChangeEnum" refId="120">CHG_N</e>
                            <b key="prevailingDataType">N</b>
                            <s key="dim">DEST3</s>
                            <ref key="filterNode" refId="116"/>
                            <i key="segmentLevel">0</i>
                            <b key="signChange">N</b>
                            <b key="complementary">N</b>
                            <s key="adHocStyleSheetId"/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21"/>
                            <i key="sco">0</i>
                          </be>
                          <l key="children" ln="0" refId="122"/>
                          <b key="leaf">N</b>
                          <l key="dimensionOids" ln="1" refId="123">
                            <cust clsId="DimensionOid">4445535433-45-473031---</cust>
                          </l>
                        </be>
                        <ref key="ParamSetType" refId="112"/>
                      </be>
                    </value>
                    <key>
                      <s>scenarioPeriodoConsolidamentoList.periodo</s>
                    </key>
                    <value>
                      <be clsId="StringParameterValue" refId="124">
                        <s key="Value"/>
                        <ref key="ParamSetType" refId="110"/>
                      </be>
                    </value>
                    <key>
                      <s>numRettificaList</s>
                    </key>
                    <value>
                      <be clsId="StringParameterValue" refId="125">
                        <s key="Value"/>
                        <ref key="ParamSetType" refId="110"/>
                      </be>
                    </value>
                    <key>
                      <s>contoCalcolatoList</s>
                    </key>
                    <value>
                      <be clsId="StringParameterValue" refId="126">
                        <s key="Value">RV_010</s>
                        <ref key="ParamSetType" refId="112"/>
                      </be>
                    </value>
                    <key>
                      <s>aziendaList</s>
                    </key>
                    <value>
                      <be clsId="StringParameterValue" refId="127">
                        <s key="Value">${AUTO}</s>
                        <ref key="ParamSetType" refId="108"/>
                      </be>
                    </value>
                    <key>
                      <s>tipoFormula</s>
                    </key>
                    <value>
                      <be clsId="StringParameterValue" refId="128">
                        <s key="Value">TUTTE</s>
                        <ref key="ParamSetType" refId="112"/>
                      </be>
                    </value>
                    <key>
                      <s>dest1List</s>
                    </key>
                    <value>
                      <be clsId="FilterNodeParameterValue" refId="129">
                        <be key="Value" clsId="FilterNode" refId="130">
                          <l key="AdHocParamDimensionOids" ln="0" refId="131"/>
                          <cust key="id" clsId="FilterOid">6</cust>
                          <i key="index">0</i>
                          <s key="desc"/>
                          <s key="cod"/>
                          <be key="data" clsId="FilterNodeData" refId="132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DEST1</s>
                            <ref key="filterNode" refId="130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33"/>
                            <i key="sco">0</i>
                          </be>
                          <l key="children" ln="0" refId="134"/>
                          <b key="leaf">N</b>
                          <l key="dimensionOids" ln="1" refId="135">
                            <cust clsId="DimensionOid">4445535431-45-473031---</cust>
                          </l>
                        </be>
                        <ref key="ParamSetType" refId="112"/>
                      </be>
                    </value>
                    <key>
                      <s>contoCalcolatoOrdinamentoList</s>
                    </key>
                    <value>
                      <be clsId="StringParameterValue" refId="136">
                        <s key="Value"/>
                        <ref key="ParamSetType" refId="110"/>
                      </be>
                    </value>
                    <key>
                      <s>contoList</s>
                    </key>
                    <value>
                      <be clsId="FilterNodeParameterValue" refId="137">
                        <ref key="ParamSetType" refId="112"/>
                      </be>
                    </value>
                    <key>
                      <s>categoriaList</s>
                    </key>
                    <value>
                      <be clsId="FilterNodeParameterValue" refId="138">
                        <be key="Value" clsId="FilterNode" refId="139">
                          <l key="AdHocParamDimensionOids" ln="0" refId="140"/>
                          <cust key="id" clsId="FilterOid">6</cust>
                          <i key="index">0</i>
                          <s key="desc"/>
                          <s key="cod"/>
                          <be key="data" clsId="FilterNodeData" refId="141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CAT</s>
                            <ref key="filterNode" refId="139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l key="nav" ln="0" refId="142"/>
                            <i key="sco">0</i>
                          </be>
                          <l key="children" ln="0" refId="143"/>
                          <b key="leaf">N</b>
                          <l key="dimensionOids" ln="1" refId="144">
                            <cust clsId="DimensionOid">434154-45-24414D4F554E54---</cust>
                          </l>
                        </be>
                        <ref key="ParamSetType" refId="112"/>
                      </be>
                    </value>
                    <key>
                      <s>scenarioPeriodoOriginarioList.scenarioOriginario</s>
                    </key>
                    <value>
                      <be clsId="StringParameterValue" refId="145">
                        <s key="Value">${AUTO}</s>
                        <ref key="ParamSetType" refId="108"/>
                      </be>
                    </value>
                    <key>
                      <s>scenarioPeriodoConsolidamentoList.scenarioConsolidamento</s>
                    </key>
                    <value>
                      <be clsId="StringParameterValue" refId="146">
                        <s key="Value">${AUTO}</s>
                        <ref key="ParamSetType" refId="108"/>
                      </be>
                    </value>
                  </m>
                  <s key="executionName">PXQ_SALES_DEDUCT</s>
                  <be key="descriptions" clsId="MultiDesc" refId="147">
                    <a key="desc" refId="148" ln="4" eid="SYS_STR">
                      <s>Revenues-Cogs Data Process</s>
                      <s>Revenues-Cogs Data Process</s>
                      <s>Revenues-Cogs- Data Process</s>
                      <nl/>
                    </a>
                  </be>
                </be>
              </value>
              <key>
                <s>Sales Deduction</s>
              </key>
              <value>
                <be clsId="ElaborationsLauncher" refId="149">
                  <b key="skipSheetFilters">N</b>
                  <b key="refreshTree">N</b>
                  <b key="createButton">N</b>
                  <i key="index">1</i>
                  <a key="elaborations" refId="150" ln="2" eid="SYS_STR">
                    <s>435253-45-43414C43554C415445445F4143434F554E54535F454C4142---</s>
                    <s>435253-4E-43414C43554C415445445F4143434F554E5453---</s>
                  </a>
                  <b key="useModifiedCellFilters">N</b>
                  <b key="onSave">S</b>
                  <b key="refreshReport">N</b>
                  <m key="parameterValues" refId="151">
                    <key>
                      <s>dest2List</s>
                    </key>
                    <value>
                      <be clsId="FilterNodeParameterValue" refId="152">
                        <be key="Value" clsId="FilterNode" refId="153">
                          <l key="AdHocParamDimensionOids" ln="0" refId="154"/>
                          <cust key="id" clsId="FilterOid">3</cust>
                          <i key="index">0</i>
                          <be key="data" clsId="FilterNodeData" refId="155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DEST2_01</s>
                            <ref key="filterNode" refId="153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56">
                            <cust clsId="DimensionOid">44455354325F3031-4E-583030---</cust>
                          </l>
                        </be>
                        <ref key="ParamSetType" refId="112"/>
                      </be>
                    </value>
                    <key>
                      <s>scenarioPeriodoOriginarioList.periodo</s>
                    </key>
                    <value>
                      <be clsId="StringParameterValue" refId="157">
                        <s key="Value">${AUTO}</s>
                        <ref key="ParamSetType" refId="108"/>
                      </be>
                    </value>
                    <key>
                      <s>contoCalcolatoDati</s>
                    </key>
                    <value>
                      <be clsId="StringParameterValue" refId="158">
                        <s key="Value">False</s>
                        <ref key="ParamSetType" refId="112"/>
                      </be>
                    </value>
                    <key>
                      <s>aziendaElegerConsolidatoreList</s>
                    </key>
                    <value>
                      <be clsId="FilterNodeParameterValue" refId="159">
                        <ref key="ParamSetType" refId="112"/>
                      </be>
                    </value>
                    <key>
                      <s>tipoDatoFormula</s>
                    </key>
                    <value>
                      <be clsId="StringParameterValue" refId="160">
                        <s key="Value">X</s>
                        <ref key="ParamSetType" refId="112"/>
                      </be>
                    </value>
                    <key>
                      <s>dest3List</s>
                    </key>
                    <value>
                      <be clsId="FilterNodeParameterValue" refId="161">
                        <be key="Value" clsId="FilterNode" refId="162">
                          <l key="AdHocParamDimensionOids" ln="0" refId="163"/>
                          <cust key="id" clsId="FilterOid">3</cust>
                          <i key="index">0</i>
                          <be key="data" clsId="FilterNodeData" refId="164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DEST3</s>
                            <ref key="filterNode" refId="162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65">
                            <cust clsId="DimensionOid">4445535433-45-473031---</cust>
                          </l>
                        </be>
                        <ref key="ParamSetType" refId="112"/>
                      </be>
                    </value>
                    <key>
                      <s>scenarioPeriodoConsolidamentoList.periodo</s>
                    </key>
                    <value>
                      <be clsId="StringParameterValue" refId="166">
                        <s key="Value">${AUTO}</s>
                        <ref key="ParamSetType" refId="108"/>
                      </be>
                    </value>
                    <key>
                      <s>numRettificaList</s>
                    </key>
                    <value>
                      <be clsId="StringParameterValue" refId="167">
                        <s key="Value"/>
                        <ref key="ParamSetType" refId="110"/>
                      </be>
                    </value>
                    <key>
                      <s>contoCalcolatoList</s>
                    </key>
                    <value>
                      <be clsId="StringParameterValue" refId="168">
                        <s key="Value">RV_030</s>
                        <ref key="ParamSetType" refId="112"/>
                      </be>
                    </value>
                    <key>
                      <s>aziendaList</s>
                    </key>
                    <value>
                      <be clsId="StringParameterValue" refId="169">
                        <s key="Value">${AUTO}</s>
                        <ref key="ParamSetType" refId="108"/>
                      </be>
                    </value>
                    <key>
                      <s>tipoFormula</s>
                    </key>
                    <value>
                      <be clsId="StringParameterValue" refId="170">
                        <s key="Value">TUTTE</s>
                        <ref key="ParamSetType" refId="112"/>
                      </be>
                    </value>
                    <key>
                      <s>dest1List</s>
                    </key>
                    <value>
                      <be clsId="FilterNodeParameterValue" refId="171">
                        <be key="Value" clsId="FilterNode" refId="172">
                          <l key="AdHocParamDimensionOids" ln="0" refId="173"/>
                          <cust key="id" clsId="FilterOid">3</cust>
                          <i key="index">0</i>
                          <be key="data" clsId="FilterNodeData" refId="174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DEST1</s>
                            <ref key="filterNode" refId="172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75">
                            <cust clsId="DimensionOid">4445535431-45-473031---</cust>
                          </l>
                        </be>
                        <ref key="ParamSetType" refId="112"/>
                      </be>
                    </value>
                    <key>
                      <s>contoCalcolatoOrdinamentoList</s>
                    </key>
                    <value>
                      <be clsId="StringParameterValue" refId="176">
                        <s key="Value"/>
                        <ref key="ParamSetType" refId="110"/>
                      </be>
                    </value>
                    <key>
                      <s>contoList</s>
                    </key>
                    <value>
                      <be clsId="StringParameterValue" refId="177">
                        <s key="Value"/>
                        <ref key="ParamSetType" refId="110"/>
                      </be>
                    </value>
                    <key>
                      <s>categoriaList</s>
                    </key>
                    <value>
                      <be clsId="FilterNodeParameterValue" refId="178">
                        <be key="Value" clsId="FilterNode" refId="179">
                          <l key="AdHocParamDimensionOids" ln="0" refId="180"/>
                          <cust key="id" clsId="FilterOid">3</cust>
                          <i key="index">0</i>
                          <be key="data" clsId="FilterNodeData" refId="181">
                            <b key="breakLevelSubtotal">N</b>
                            <ref key="weight" refId="86"/>
                            <ref key="segment" refId="119"/>
                            <ref key="change" refId="120"/>
                            <b key="prevailingDataType">N</b>
                            <s key="dim">CAT</s>
                            <ref key="filterNode" refId="179"/>
                            <i key="segmentLevel">0</i>
                            <b key="signChange">N</b>
                            <b key="complementary">N</b>
                            <b key="applyFiltersForForcedScenarioPeriodoMap">N</b>
                            <b key="lineSplit">N</b>
                            <b key="addRCRow">N</b>
                            <ref key="editability" refId="92"/>
                            <b key="nativeSignChange">N</b>
                            <b key="placeHolder">N</b>
                            <ref key="dataType" refId="93"/>
                            <i key="sco">0</i>
                          </be>
                          <b key="leaf">N</b>
                          <l key="dimensionOids" ln="1" refId="182">
                            <cust clsId="DimensionOid">434154-45-24414D4F554E54---</cust>
                          </l>
                        </be>
                        <ref key="ParamSetType" refId="112"/>
                      </be>
                    </value>
                    <key>
                      <s>scenarioPeriodoOriginarioList.scenarioOriginario</s>
                    </key>
                    <value>
                      <be clsId="StringParameterValue" refId="183">
                        <s key="Value">${AUTO}</s>
                        <ref key="ParamSetType" refId="108"/>
                      </be>
                    </value>
                    <key>
                      <s>scenarioPeriodoConsolidamentoList.scenarioConsolidamento</s>
                    </key>
                    <value>
                      <be clsId="StringParameterValue" refId="184">
                        <s key="Value">${AUTO}</s>
                        <ref key="ParamSetType" refId="108"/>
                      </be>
                    </value>
                  </m>
                  <s key="executionName">Sales Deduction</s>
                  <be key="descriptions" clsId="MultiDesc" refId="185">
                    <a key="desc" refId="186" ln="4" eid="SYS_STR">
                      <s>Sales Deduction</s>
                      <s>Sales Deduction</s>
                      <s>Sales Deduction</s>
                      <nl/>
                    </a>
                  </be>
                </be>
              </value>
            </m>
            <m key="inlineParameters" refId="187">
              <key>
                <s>InlineParameter00</s>
              </key>
              <value>
                <be clsId="CodedInlineParameter" refId="188">
                  <be key="inlineParameter" clsId="InlineParameter" refId="189">
                    <cust key="oid" clsId="DimensionOid">415A495F3130-45-24415A495F31305F50--50-</cust>
                  </be>
                  <s key="code">InlineParameter00</s>
                </be>
              </value>
              <key>
                <s>InlineParameter01</s>
              </key>
              <value>
                <be clsId="CodedInlineParameter" refId="190">
                  <be key="inlineParameter" clsId="InlineParameter" refId="191">
                    <cust key="oid" clsId="DimensionOid">44455354325F3031-45-2444455354325F30315F50--50-</cust>
                  </be>
                  <s key="code">InlineParameter01</s>
                </be>
              </value>
            </m>
            <m key="matrices" refId="192">
              <key>
                <s>QUANTITY</s>
              </key>
              <value>
                <be clsId="MatrixPositionBlockVO" refId="193">
                  <b key="allowRangeBreak">N</b>
                  <b key="leavesFirst">N</b>
                  <s key="forcedBreakBackRefLeaf">X</s>
                  <be key="columns" clsId="FilterNode" refId="194">
                    <l key="AdHocParamDimensionOids" ln="0" refId="195"/>
                    <cust key="id" clsId="FilterOid">74</cust>
                    <i key="index">0</i>
                    <s key="desc">Columns</s>
                    <be key="data" clsId="FilterNodeData" refId="196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be key="filterNode" clsId="FilterNode" refId="197">
                        <l key="AdHocParamDimensionOids" ln="0" refId="198"/>
                        <cust key="id" clsId="FilterOid">1</cust>
                        <i key="index">0</i>
                        <be key="data" clsId="FilterNodeData" refId="199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ref key="filterNode" refId="197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i key="sco">0</i>
                        </be>
                        <l key="children" ln="12" refId="200">
                          <be clsId="FilterNode" refId="201">
                            <l key="AdHocParamDimensionOids" ln="0" refId="202"/>
                            <cust key="id" clsId="FilterOid">2</cust>
                            <i key="index">0</i>
                            <s key="desc"/>
                            <s key="cod"/>
                            <be key="data" clsId="FilterNodeData" refId="203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01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e key="editability" id="EditableEnum" refId="204">S</e>
                              <b key="nativeSignChange">N</b>
                              <b key="placeHolder">N</b>
                              <ref key="dataType" refId="93"/>
                              <l key="nav" ln="0" refId="205"/>
                              <i key="sco">0</i>
                            </be>
                            <ref key="parent" refId="197"/>
                            <l key="children" ln="1" refId="206">
                              <be clsId="FilterNode" refId="207">
                                <l key="AdHocParamDimensionOids" ln="0" refId="208"/>
                                <cust key="id" clsId="FilterOid">28</cust>
                                <i key="index">0</i>
                                <be key="data" clsId="FilterNodeData" refId="2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0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01"/>
                                <b key="leaf">N</b>
                                <l key="dimensionOids" ln="1" refId="21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11">
                              <cust clsId="DimensionOid">504552-45-3031---</cust>
                            </l>
                          </be>
                          <be clsId="FilterNode" refId="212">
                            <l key="AdHocParamDimensionOids" ln="0" refId="213"/>
                            <cust key="id" clsId="FilterOid">4</cust>
                            <i key="index">1</i>
                            <s key="desc"/>
                            <s key="cod"/>
                            <be key="data" clsId="FilterNodeData" refId="21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1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15"/>
                              <i key="sco">0</i>
                            </be>
                            <ref key="parent" refId="197"/>
                            <l key="children" ln="1" refId="216">
                              <be clsId="FilterNode" refId="217">
                                <l key="AdHocParamDimensionOids" ln="0" refId="218"/>
                                <cust key="id" clsId="FilterOid">29</cust>
                                <i key="index">0</i>
                                <be key="data" clsId="FilterNodeData" refId="21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1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12"/>
                                <b key="leaf">N</b>
                                <l key="dimensionOids" ln="1" refId="22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21">
                              <cust clsId="DimensionOid">504552-45-3032---</cust>
                            </l>
                          </be>
                          <be clsId="FilterNode" refId="222">
                            <l key="AdHocParamDimensionOids" ln="0" refId="223"/>
                            <cust key="id" clsId="FilterOid">6</cust>
                            <i key="index">2</i>
                            <s key="desc"/>
                            <s key="cod"/>
                            <be key="data" clsId="FilterNodeData" refId="22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2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25"/>
                              <i key="sco">0</i>
                            </be>
                            <ref key="parent" refId="197"/>
                            <l key="children" ln="1" refId="226">
                              <be clsId="FilterNode" refId="227">
                                <l key="AdHocParamDimensionOids" ln="0" refId="228"/>
                                <cust key="id" clsId="FilterOid">30</cust>
                                <i key="index">0</i>
                                <be key="data" clsId="FilterNodeData" refId="22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2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22"/>
                                <b key="leaf">N</b>
                                <l key="dimensionOids" ln="1" refId="23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31">
                              <cust clsId="DimensionOid">504552-45-3033---</cust>
                            </l>
                          </be>
                          <be clsId="FilterNode" refId="232">
                            <l key="AdHocParamDimensionOids" ln="0" refId="233"/>
                            <cust key="id" clsId="FilterOid">8</cust>
                            <i key="index">3</i>
                            <s key="desc"/>
                            <s key="cod"/>
                            <be key="data" clsId="FilterNodeData" refId="23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3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35"/>
                              <i key="sco">0</i>
                            </be>
                            <ref key="parent" refId="197"/>
                            <l key="children" ln="1" refId="236">
                              <be clsId="FilterNode" refId="237">
                                <l key="AdHocParamDimensionOids" ln="0" refId="238"/>
                                <cust key="id" clsId="FilterOid">31</cust>
                                <i key="index">0</i>
                                <be key="data" clsId="FilterNodeData" refId="23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3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32"/>
                                <b key="leaf">N</b>
                                <l key="dimensionOids" ln="1" refId="24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41">
                              <cust clsId="DimensionOid">504552-45-3034---</cust>
                            </l>
                          </be>
                          <be clsId="FilterNode" refId="242">
                            <l key="AdHocParamDimensionOids" ln="0" refId="243"/>
                            <cust key="id" clsId="FilterOid">10</cust>
                            <i key="index">4</i>
                            <s key="desc"/>
                            <s key="cod"/>
                            <be key="data" clsId="FilterNodeData" refId="24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4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45"/>
                              <i key="sco">0</i>
                            </be>
                            <ref key="parent" refId="197"/>
                            <l key="children" ln="1" refId="246">
                              <be clsId="FilterNode" refId="247">
                                <l key="AdHocParamDimensionOids" ln="0" refId="248"/>
                                <cust key="id" clsId="FilterOid">32</cust>
                                <i key="index">0</i>
                                <be key="data" clsId="FilterNodeData" refId="24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4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42"/>
                                <b key="leaf">N</b>
                                <l key="dimensionOids" ln="1" refId="25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51">
                              <cust clsId="DimensionOid">504552-45-3035---</cust>
                            </l>
                          </be>
                          <be clsId="FilterNode" refId="252">
                            <l key="AdHocParamDimensionOids" ln="0" refId="253"/>
                            <cust key="id" clsId="FilterOid">12</cust>
                            <i key="index">5</i>
                            <s key="desc"/>
                            <s key="cod"/>
                            <be key="data" clsId="FilterNodeData" refId="25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5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55"/>
                              <i key="sco">0</i>
                            </be>
                            <ref key="parent" refId="197"/>
                            <l key="children" ln="1" refId="256">
                              <be clsId="FilterNode" refId="257">
                                <l key="AdHocParamDimensionOids" ln="0" refId="258"/>
                                <cust key="id" clsId="FilterOid">33</cust>
                                <i key="index">0</i>
                                <be key="data" clsId="FilterNodeData" refId="25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5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52"/>
                                <b key="leaf">N</b>
                                <l key="dimensionOids" ln="1" refId="26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61">
                              <cust clsId="DimensionOid">504552-45-3036---</cust>
                            </l>
                          </be>
                          <be clsId="FilterNode" refId="262">
                            <l key="AdHocParamDimensionOids" ln="0" refId="263"/>
                            <cust key="id" clsId="FilterOid">14</cust>
                            <i key="index">6</i>
                            <s key="desc"/>
                            <s key="cod"/>
                            <be key="data" clsId="FilterNodeData" refId="26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6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65"/>
                              <i key="sco">0</i>
                            </be>
                            <ref key="parent" refId="197"/>
                            <l key="children" ln="1" refId="266">
                              <be clsId="FilterNode" refId="267">
                                <l key="AdHocParamDimensionOids" ln="0" refId="268"/>
                                <cust key="id" clsId="FilterOid">34</cust>
                                <i key="index">0</i>
                                <be key="data" clsId="FilterNodeData" refId="26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6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62"/>
                                <b key="leaf">N</b>
                                <l key="dimensionOids" ln="1" refId="27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71">
                              <cust clsId="DimensionOid">504552-45-3037---</cust>
                            </l>
                          </be>
                          <be clsId="FilterNode" refId="272">
                            <l key="AdHocParamDimensionOids" ln="0" refId="273"/>
                            <cust key="id" clsId="FilterOid">16</cust>
                            <i key="index">7</i>
                            <s key="desc"/>
                            <s key="cod"/>
                            <be key="data" clsId="FilterNodeData" refId="27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7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75"/>
                              <i key="sco">0</i>
                            </be>
                            <ref key="parent" refId="197"/>
                            <l key="children" ln="1" refId="276">
                              <be clsId="FilterNode" refId="277">
                                <l key="AdHocParamDimensionOids" ln="0" refId="278"/>
                                <cust key="id" clsId="FilterOid">35</cust>
                                <i key="index">0</i>
                                <be key="data" clsId="FilterNodeData" refId="27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7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72"/>
                                <b key="leaf">N</b>
                                <l key="dimensionOids" ln="1" refId="28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81">
                              <cust clsId="DimensionOid">504552-45-3038---</cust>
                            </l>
                          </be>
                          <be clsId="FilterNode" refId="282">
                            <l key="AdHocParamDimensionOids" ln="0" refId="283"/>
                            <cust key="id" clsId="FilterOid">18</cust>
                            <i key="index">8</i>
                            <s key="desc"/>
                            <s key="cod"/>
                            <be key="data" clsId="FilterNodeData" refId="28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8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85"/>
                              <i key="sco">0</i>
                            </be>
                            <ref key="parent" refId="197"/>
                            <l key="children" ln="1" refId="286">
                              <be clsId="FilterNode" refId="287">
                                <l key="AdHocParamDimensionOids" ln="0" refId="288"/>
                                <cust key="id" clsId="FilterOid">36</cust>
                                <i key="index">0</i>
                                <be key="data" clsId="FilterNodeData" refId="28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8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82"/>
                                <b key="leaf">N</b>
                                <l key="dimensionOids" ln="1" refId="29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291">
                              <cust clsId="DimensionOid">504552-45-3039---</cust>
                            </l>
                          </be>
                          <be clsId="FilterNode" refId="292">
                            <l key="AdHocParamDimensionOids" ln="0" refId="293"/>
                            <cust key="id" clsId="FilterOid">20</cust>
                            <i key="index">9</i>
                            <s key="desc"/>
                            <s key="cod"/>
                            <be key="data" clsId="FilterNodeData" refId="29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29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295"/>
                              <i key="sco">0</i>
                            </be>
                            <ref key="parent" refId="197"/>
                            <l key="children" ln="1" refId="296">
                              <be clsId="FilterNode" refId="297">
                                <l key="AdHocParamDimensionOids" ln="0" refId="298"/>
                                <cust key="id" clsId="FilterOid">37</cust>
                                <i key="index">0</i>
                                <be key="data" clsId="FilterNodeData" refId="29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29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292"/>
                                <b key="leaf">N</b>
                                <l key="dimensionOids" ln="1" refId="30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301">
                              <cust clsId="DimensionOid">504552-45-3130---</cust>
                            </l>
                          </be>
                          <be clsId="FilterNode" refId="302">
                            <l key="AdHocParamDimensionOids" ln="0" refId="303"/>
                            <cust key="id" clsId="FilterOid">22</cust>
                            <i key="index">10</i>
                            <s key="desc"/>
                            <s key="cod"/>
                            <be key="data" clsId="FilterNodeData" refId="304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PER</s>
                              <ref key="filterNode" refId="302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305"/>
                              <i key="sco">0</i>
                            </be>
                            <ref key="parent" refId="197"/>
                            <l key="children" ln="1" refId="306">
                              <be clsId="FilterNode" refId="307">
                                <l key="AdHocParamDimensionOids" ln="0" refId="308"/>
                                <cust key="id" clsId="FilterOid">38</cust>
                                <i key="index">0</i>
                                <be key="data" clsId="FilterNodeData" refId="3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0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02"/>
                                <b key="leaf">N</b>
                                <l key="dimensionOids" ln="1" refId="310">
                                  <cust clsId="DimensionOid">534345-45-5350424447--50-</cust>
                                </l>
                              </be>
                            </l>
                            <b key="leaf">N</b>
                            <l key="dimensionOids" ln="1" refId="311">
                              <cust clsId="DimensionOid">504552-45-3131---</cust>
                            </l>
                          </be>
                          <be clsId="FilterNode" refId="312">
                            <l key="AdHocParamDimensionOids" ln="0" refId="313"/>
                            <cust key="id" clsId="FilterOid">27</cust>
                            <i key="index">12</i>
                            <s key="desc"/>
                            <s key="cod"/>
                            <be key="data" clsId="FilterNodeData" refId="314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be key="dictionaryHeader" clsId="MultiDesc" refId="315">
                                <a key="desc" refId="316" ln="4" eid="SYS_STR">
                                  <s>Total</s>
                                  <s>Total</s>
                                  <nl/>
                                  <nl/>
                                </a>
                              </be>
                              <s key="dim">PER</s>
                              <ref key="filterNode" refId="312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317"/>
                              <i key="sco">0</i>
                            </be>
                            <ref key="parent" refId="197"/>
                            <l key="children" ln="2" refId="318">
                              <be clsId="FilterNode" refId="319">
                                <l key="AdHocParamDimensionOids" ln="0" refId="320"/>
                                <cust key="id" clsId="FilterOid">39</cust>
                                <i key="index">0</i>
                                <be key="data" clsId="FilterNodeData" refId="32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19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12"/>
                                <b key="leaf">N</b>
                                <l key="dimensionOids" ln="1" refId="322">
                                  <cust clsId="DimensionOid">534345-45-5350424447--50-</cust>
                                </l>
                              </be>
                              <be clsId="FilterNode" refId="323">
                                <l key="AdHocParamDimensionOids" ln="0" refId="324"/>
                                <cust key="id" clsId="FilterOid">40</cust>
                                <i key="index">0</i>
                                <s key="desc"/>
                                <s key="cod">PH</s>
                                <be key="data" clsId="FilterNodeData" refId="32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SCE</s>
                                  <ref key="filterNode" refId="32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e key="reportingFormula" clsId="ReportingFormula" refId="326">
                                    <b key="formulaRule">N</b>
                                    <b key="serverFormula">N</b>
                                    <s key="formula">SUBTOTAL(9,{28}:{39})</s>
                                  </be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i key="sco">0</i>
                                </be>
                                <ref key="parent" refId="312"/>
                                <b key="leaf">N</b>
                                <l key="dimensionOids" ln="0" refId="327"/>
                              </be>
                            </l>
                            <b key="leaf">N</b>
                            <l key="dimensionOids" ln="0" refId="328"/>
                          </be>
                        </l>
                        <b key="leaf">N</b>
                        <l key="dimensionOids" ln="0" refId="329"/>
                      </be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3" refId="330">
                      <be clsId="FilterNode" refId="331">
                        <l key="AdHocParamDimensionOids" ln="0" refId="332"/>
                        <cust key="id" clsId="FilterOid">75</cust>
                        <i key="index">0</i>
                        <s key="desc"/>
                        <s key="cod"/>
                        <be key="data" clsId="FilterNodeData" refId="333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SCE</s>
                          <ref key="filterNode" refId="331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1" refId="334">
                            <e id="ScenarioModifierValue" refId="335">PREC</e>
                          </l>
                          <i key="sco">0</i>
                        </be>
                        <ref key="parent" refId="194"/>
                        <l key="children" ln="2" refId="336">
                          <be clsId="FilterNode" refId="337">
                            <l key="AdHocParamDimensionOids" ln="0" refId="338"/>
                            <cust key="id" clsId="FilterOid">76</cust>
                            <i key="index">0</i>
                            <s key="desc"/>
                            <s key="cod"/>
                            <be key="data" clsId="FilterNodeData" refId="33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LUNPER</s>
                              <ref key="filterNode" refId="337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i key="sco">0</i>
                            </be>
                            <ref key="parent" refId="331"/>
                            <l key="children" ln="1" refId="340">
                              <be clsId="FilterNode" refId="341">
                                <l key="AdHocParamDimensionOids" ln="0" refId="342"/>
                                <cust key="id" clsId="FilterOid">77</cust>
                                <i key="index">0</i>
                                <s key="desc"/>
                                <s key="cod"/>
                                <be key="data" clsId="FilterNodeData" refId="34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41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344"/>
                                  <i key="sco">0</i>
                                </be>
                                <ref key="parent" refId="337"/>
                                <l key="children" ln="0" refId="345"/>
                                <b key="leaf">N</b>
                                <l key="dimensionOids" ln="1" refId="346">
                                  <cust clsId="DimensionOid">504552-45-3132---</cust>
                                </l>
                              </be>
                            </l>
                            <b key="leaf">N</b>
                            <l key="dimensionOids" ln="1" refId="347">
                              <cust clsId="DimensionOid">4C554E504552-45-4C554E5F30---</cust>
                            </l>
                          </be>
                          <be clsId="FilterNode" refId="348">
                            <l key="AdHocParamDimensionOids" ln="0" refId="349"/>
                            <cust key="id" clsId="FilterOid">78</cust>
                            <i key="index">1</i>
                            <s key="desc"/>
                            <s key="cod"/>
                            <be key="data" clsId="FilterNodeData" refId="350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s key="dim">LUNPER</s>
                              <ref key="filterNode" refId="348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351"/>
                              <i key="sco">0</i>
                            </be>
                            <ref key="parent" refId="331"/>
                            <l key="children" ln="1" refId="352">
                              <be clsId="FilterNode" refId="353">
                                <l key="AdHocParamDimensionOids" ln="0" refId="354"/>
                                <cust key="id" clsId="FilterOid">79</cust>
                                <i key="index">0</i>
                                <s key="desc"/>
                                <s key="cod"/>
                                <be key="data" clsId="FilterNodeData" refId="355">
                                  <b key="breakLevelSubtotal">N</b>
                                  <ref key="weight" refId="86"/>
                                  <ref key="segment" refId="87"/>
                                  <ref key="change" refId="88"/>
                                  <b key="prevailingDataType">N</b>
                                  <s key="dim">PER</s>
                                  <ref key="filterNode" refId="35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l key="nav" ln="0" refId="356"/>
                                  <i key="sco">0</i>
                                </be>
                                <ref key="parent" refId="348"/>
                                <l key="children" ln="0" refId="357"/>
                                <b key="leaf">N</b>
                                <l key="dimensionOids" ln="0" refId="358"/>
                              </be>
                            </l>
                            <b key="leaf">N</b>
                            <l key="dimensionOids" ln="0" refId="359"/>
                          </be>
                        </l>
                        <b key="leaf">N</b>
                        <l key="dimensionOids" ln="1" refId="360">
                          <cust clsId="DimensionOid">534345-45-5350424447--50-</cust>
                        </l>
                      </be>
                      <be clsId="FilterNode" refId="361">
                        <l key="AdHocParamDimensionOids" ln="0" refId="362"/>
                        <cust key="id" clsId="FilterOid">80</cust>
                        <i key="index">1</i>
                        <s key="desc"/>
                        <s key="cod"/>
                        <be key="data" clsId="FilterNodeData" refId="363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SCE</s>
                          <ref key="filterNode" refId="361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204"/>
                          <b key="nativeSignChange">N</b>
                          <b key="placeHolder">N</b>
                          <ref key="dataType" refId="93"/>
                          <l key="nav" ln="0" refId="364"/>
                          <i key="sco">0</i>
                        </be>
                        <ref key="parent" refId="194"/>
                        <l key="children" ln="1" refId="365">
                          <be clsId="FilterNode" refId="366">
                            <l key="AdHocParamDimensionOids" ln="0" refId="367"/>
                            <cust key="id" clsId="FilterOid">81</cust>
                            <i key="index">0</i>
                            <s key="desc"/>
                            <s key="cod"/>
                            <be key="data" clsId="FilterNodeData" refId="368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LUNPER</s>
                              <ref key="filterNode" refId="366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369"/>
                              <i key="sco">0</i>
                            </be>
                            <ref key="parent" refId="361"/>
                            <l key="children" ln="12" refId="370">
                              <be clsId="FilterNode" refId="371">
                                <l key="AdHocParamDimensionOids" ln="0" refId="372"/>
                                <cust key="id" clsId="FilterOid">82</cust>
                                <i key="index">0</i>
                                <s key="desc"/>
                                <s key="cod"/>
                                <be key="data" clsId="FilterNodeData" refId="37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7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74"/>
                                  <i key="sco">0</i>
                                </be>
                                <ref key="parent" refId="366"/>
                                <l key="children" ln="0" refId="375"/>
                                <b key="leaf">N</b>
                                <l key="dimensionOids" ln="1" refId="376">
                                  <cust clsId="DimensionOid">504552-45-3031---</cust>
                                </l>
                              </be>
                              <be clsId="FilterNode" refId="377">
                                <l key="AdHocParamDimensionOids" ln="0" refId="378"/>
                                <cust key="id" clsId="FilterOid">83</cust>
                                <i key="index">1</i>
                                <s key="desc"/>
                                <s key="cod"/>
                                <be key="data" clsId="FilterNodeData" refId="37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77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80"/>
                                  <i key="sco">0</i>
                                </be>
                                <ref key="parent" refId="366"/>
                                <l key="children" ln="0" refId="381"/>
                                <b key="leaf">N</b>
                                <l key="dimensionOids" ln="1" refId="382">
                                  <cust clsId="DimensionOid">504552-45-3032---</cust>
                                </l>
                              </be>
                              <be clsId="FilterNode" refId="383">
                                <l key="AdHocParamDimensionOids" ln="0" refId="384"/>
                                <cust key="id" clsId="FilterOid">84</cust>
                                <i key="index">2</i>
                                <s key="desc"/>
                                <s key="cod"/>
                                <be key="data" clsId="FilterNodeData" refId="38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83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86"/>
                                  <i key="sco">0</i>
                                </be>
                                <ref key="parent" refId="366"/>
                                <l key="children" ln="0" refId="387"/>
                                <b key="leaf">N</b>
                                <l key="dimensionOids" ln="1" refId="388">
                                  <cust clsId="DimensionOid">504552-45-3033---</cust>
                                </l>
                              </be>
                              <be clsId="FilterNode" refId="389">
                                <l key="AdHocParamDimensionOids" ln="0" refId="390"/>
                                <cust key="id" clsId="FilterOid">85</cust>
                                <i key="index">3</i>
                                <s key="desc"/>
                                <s key="cod"/>
                                <be key="data" clsId="FilterNodeData" refId="39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89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92"/>
                                  <i key="sco">0</i>
                                </be>
                                <ref key="parent" refId="366"/>
                                <l key="children" ln="0" refId="393"/>
                                <b key="leaf">N</b>
                                <l key="dimensionOids" ln="1" refId="394">
                                  <cust clsId="DimensionOid">504552-45-3034---</cust>
                                </l>
                              </be>
                              <be clsId="FilterNode" refId="395">
                                <l key="AdHocParamDimensionOids" ln="0" refId="396"/>
                                <cust key="id" clsId="FilterOid">86</cust>
                                <i key="index">4</i>
                                <s key="desc"/>
                                <s key="cod"/>
                                <be key="data" clsId="FilterNodeData" refId="397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395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398"/>
                                  <i key="sco">0</i>
                                </be>
                                <ref key="parent" refId="366"/>
                                <l key="children" ln="0" refId="399"/>
                                <b key="leaf">N</b>
                                <l key="dimensionOids" ln="1" refId="400">
                                  <cust clsId="DimensionOid">504552-45-3035---</cust>
                                </l>
                              </be>
                              <be clsId="FilterNode" refId="401">
                                <l key="AdHocParamDimensionOids" ln="0" refId="402"/>
                                <cust key="id" clsId="FilterOid">87</cust>
                                <i key="index">5</i>
                                <s key="desc"/>
                                <s key="cod"/>
                                <be key="data" clsId="FilterNodeData" refId="40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0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04"/>
                                  <i key="sco">0</i>
                                </be>
                                <ref key="parent" refId="366"/>
                                <l key="children" ln="0" refId="405"/>
                                <b key="leaf">N</b>
                                <l key="dimensionOids" ln="1" refId="406">
                                  <cust clsId="DimensionOid">504552-45-3036---</cust>
                                </l>
                              </be>
                              <be clsId="FilterNode" refId="407">
                                <l key="AdHocParamDimensionOids" ln="0" refId="408"/>
                                <cust key="id" clsId="FilterOid">88</cust>
                                <i key="index">6</i>
                                <s key="desc"/>
                                <s key="cod"/>
                                <be key="data" clsId="FilterNodeData" refId="40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07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10"/>
                                  <i key="sco">0</i>
                                </be>
                                <ref key="parent" refId="366"/>
                                <l key="children" ln="0" refId="411"/>
                                <b key="leaf">N</b>
                                <l key="dimensionOids" ln="1" refId="412">
                                  <cust clsId="DimensionOid">504552-45-3037---</cust>
                                </l>
                              </be>
                              <be clsId="FilterNode" refId="413">
                                <l key="AdHocParamDimensionOids" ln="0" refId="414"/>
                                <cust key="id" clsId="FilterOid">89</cust>
                                <i key="index">7</i>
                                <s key="desc"/>
                                <s key="cod"/>
                                <be key="data" clsId="FilterNodeData" refId="415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13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16"/>
                                  <i key="sco">0</i>
                                </be>
                                <ref key="parent" refId="366"/>
                                <l key="children" ln="0" refId="417"/>
                                <b key="leaf">N</b>
                                <l key="dimensionOids" ln="1" refId="418">
                                  <cust clsId="DimensionOid">504552-45-3038---</cust>
                                </l>
                              </be>
                              <be clsId="FilterNode" refId="419">
                                <l key="AdHocParamDimensionOids" ln="0" refId="420"/>
                                <cust key="id" clsId="FilterOid">90</cust>
                                <i key="index">8</i>
                                <s key="desc"/>
                                <s key="cod"/>
                                <be key="data" clsId="FilterNodeData" refId="421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19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22"/>
                                  <i key="sco">0</i>
                                </be>
                                <ref key="parent" refId="366"/>
                                <l key="children" ln="0" refId="423"/>
                                <b key="leaf">N</b>
                                <l key="dimensionOids" ln="1" refId="424">
                                  <cust clsId="DimensionOid">504552-45-3039---</cust>
                                </l>
                              </be>
                              <be clsId="FilterNode" refId="425">
                                <l key="AdHocParamDimensionOids" ln="0" refId="426"/>
                                <cust key="id" clsId="FilterOid">91</cust>
                                <i key="index">9</i>
                                <s key="desc"/>
                                <s key="cod"/>
                                <be key="data" clsId="FilterNodeData" refId="427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25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28"/>
                                  <i key="sco">0</i>
                                </be>
                                <ref key="parent" refId="366"/>
                                <l key="children" ln="0" refId="429"/>
                                <b key="leaf">N</b>
                                <l key="dimensionOids" ln="1" refId="430">
                                  <cust clsId="DimensionOid">504552-45-3130---</cust>
                                </l>
                              </be>
                              <be clsId="FilterNode" refId="431">
                                <l key="AdHocParamDimensionOids" ln="0" refId="432"/>
                                <cust key="id" clsId="FilterOid">92</cust>
                                <i key="index">10</i>
                                <s key="desc"/>
                                <s key="cod"/>
                                <be key="data" clsId="FilterNodeData" refId="433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31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204"/>
                                  <b key="nativeSignChange">N</b>
                                  <b key="placeHolder">N</b>
                                  <ref key="dataType" refId="93"/>
                                  <l key="nav" ln="0" refId="434"/>
                                  <i key="sco">0</i>
                                </be>
                                <ref key="parent" refId="366"/>
                                <l key="children" ln="0" refId="435"/>
                                <b key="leaf">N</b>
                                <l key="dimensionOids" ln="1" refId="436">
                                  <cust clsId="DimensionOid">504552-45-3131---</cust>
                                </l>
                              </be>
                              <be clsId="FilterNode" refId="437">
                                <l key="AdHocParamDimensionOids" ln="0" refId="438"/>
                                <cust key="id" clsId="FilterOid">96</cust>
                                <i key="index">0</i>
                                <be key="data" clsId="FilterNodeData" refId="439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PER</s>
                                  <ref key="filterNode" refId="437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i key="sco">0</i>
                                </be>
                                <ref key="parent" refId="366"/>
                                <b key="leaf">N</b>
                                <l key="dimensionOids" ln="1" refId="440">
                                  <cust clsId="DimensionOid">504552-45-3132---</cust>
                                </l>
                              </be>
                            </l>
                            <b key="leaf">N</b>
                            <l key="dimensionOids" ln="1" refId="441">
                              <cust clsId="DimensionOid">4C554E504552-45-4C554E5F31---</cust>
                            </l>
                          </be>
                        </l>
                        <b key="leaf">N</b>
                        <l key="dimensionOids" ln="1" refId="442">
                          <cust clsId="DimensionOid">534345-45-5350424447--50-</cust>
                        </l>
                      </be>
                      <be clsId="FilterNode" refId="443">
                        <l key="AdHocParamDimensionOids" ln="0" refId="444"/>
                        <cust key="id" clsId="FilterOid">93</cust>
                        <i key="index">2</i>
                        <s key="desc"/>
                        <s key="cod"/>
                        <be key="data" clsId="FilterNodeData" refId="445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s key="dim">SCE</s>
                          <ref key="filterNode" refId="443"/>
                          <i key="segmentLevel">0</i>
                          <b key="signChange">N</b>
                          <b key="complementary">N</b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S</b>
                          <ref key="dataType" refId="93"/>
                          <l key="nav" ln="0" refId="446"/>
                          <i key="sco">0</i>
                        </be>
                        <ref key="parent" refId="194"/>
                        <l key="children" ln="1" refId="447">
                          <be clsId="FilterNode" refId="448">
                            <l key="AdHocParamDimensionOids" ln="0" refId="449"/>
                            <cust key="id" clsId="FilterOid">94</cust>
                            <i key="index">0</i>
                            <s key="desc"/>
                            <s key="cod"/>
                            <be key="data" clsId="FilterNodeData" refId="450">
                              <b key="breakLevelSubtotal">N</b>
                              <ref key="weight" refId="86"/>
                              <ref key="segment" refId="87"/>
                              <ref key="change" refId="88"/>
                              <b key="prevailingDataType">N</b>
                              <s key="dim">LUNPER</s>
                              <ref key="filterNode" refId="448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l key="nav" ln="0" refId="451"/>
                              <i key="sco">0</i>
                            </be>
                            <ref key="parent" refId="443"/>
                            <l key="children" ln="1" refId="452">
                              <be clsId="FilterNode" refId="453">
                                <l key="AdHocParamDimensionOids" ln="0" refId="454"/>
                                <cust key="id" clsId="FilterOid">95</cust>
                                <i key="index">0</i>
                                <s key="desc"/>
                                <s key="cod"/>
                                <be key="data" clsId="FilterNodeData" refId="455">
                                  <b key="breakLevelSubtotal">N</b>
                                  <ref key="weight" refId="86"/>
                                  <ref key="segment" refId="87"/>
                                  <ref key="change" refId="88"/>
                                  <b key="prevailingDataType">N</b>
                                  <be key="dictionaryHeader" clsId="MultiDesc" refId="456">
                                    <a key="desc" refId="457" ln="4" eid="SYS_STR">
                                      <s>Total</s>
                                      <s>Total</s>
                                      <s>Total</s>
                                      <nl/>
                                    </a>
                                  </be>
                                  <s key="dim">PER</s>
                                  <ref key="filterNode" refId="453"/>
                                  <i key="segmentLevel">0</i>
                                  <b key="signChange">N</b>
                                  <b key="complementary">N</b>
                                  <b key="applyFiltersForForcedScenarioPeriodoMap">N</b>
                                  <b key="lineSplit">N</b>
                                  <be key="reportingFormula" clsId="ReportingFormula" refId="458">
                                    <b key="formulaRule">N</b>
                                    <b key="serverFormula">N</b>
                                    <s key="formula">SUBTOTAL(9, {82}:{96})</s>
                                  </be>
                                  <b key="addRCRow">N</b>
                                  <ref key="editability" refId="92"/>
                                  <b key="nativeSignChange">N</b>
                                  <b key="placeHolder">S</b>
                                  <ref key="dataType" refId="93"/>
                                  <l key="nav" ln="0" refId="459"/>
                                  <i key="sco">0</i>
                                </be>
                                <ref key="parent" refId="448"/>
                                <l key="children" ln="0" refId="460"/>
                                <b key="leaf">N</b>
                                <l key="dimensionOids" ln="0" refId="461"/>
                              </be>
                            </l>
                            <b key="leaf">N</b>
                            <l key="dimensionOids" ln="0" refId="462"/>
                          </be>
                        </l>
                        <b key="leaf">N</b>
                        <l key="dimensionOids" ln="0" refId="463"/>
                      </be>
                    </l>
                    <b key="leaf">N</b>
                    <l key="dimensionOids" ln="0" refId="464"/>
                  </be>
                  <b key="groupSubtotal">N</b>
                  <be key="columnHeaders" clsId="ReportingHeaders" refId="465">
                    <m key="headers" refId="466">
                      <key>
                        <i>-2</i>
                      </key>
                      <value>
                        <l ln="1" refId="467">
                          <s>$Scenario.desc</s>
                        </l>
                      </value>
                      <key>
                        <i>-1</i>
                      </key>
                      <value>
                        <l ln="1" refId="468">
                          <s>$Period.desc</s>
                        </l>
                      </value>
                    </m>
                    <m key="headersDims" refId="469">
                      <key>
                        <i>-2</i>
                      </key>
                      <value>
                        <s>SCE</s>
                      </value>
                      <key>
                        <i>-1</i>
                      </key>
                      <value>
                        <s>PER</s>
                      </value>
                    </m>
                  </be>
                  <b key="allowOpenNewElements">N</b>
                  <e key="rowsExpansionMode" id="RowColExpansionMode" refId="470">2</e>
                  <s key="positionID">QUANTITY</s>
                  <be key="TxDeFormsEditorDescriptor" clsId="TxDeFormsEditorDescriptor" refId="471">
                    <l key="Tabs" ln="0" refId="472"/>
                    <i key="Height">400</i>
                    <b key="deleteButton">S</b>
                    <i key="Width">430</i>
                    <b key="newButton">S</b>
                    <b key="editButton">S</b>
                  </be>
                  <e key="styleType" id="MatrixStyleType" refId="473">2</e>
                  <b key="autoOpenNewElements">N</b>
                  <m key="addictionalStyleSheets" refId="474">
                    <key>
                      <s>3</s>
                    </key>
                    <value>
                      <be clsId="StyleSheet" refId="475">
                        <e key="applyFirst" id="MultiplePosBlockType" refId="476">COLUMNS</e>
                        <s key="cod">TGK_01</s>
                        <d key="dateUpd">1349440394007</d>
                        <m key="rules" refId="477">
                          <key>
                            <s>46524D4F424A-45-56414C554553----524F5753-234E2F41-56414C554553-234E2F41</s>
                          </key>
                          <value>
                            <l ln="1" refId="478">
                              <be clsId="StyleRule" refId="479">
                                <be key="ruleCondition" clsId="StyleRuleCondition" refId="480">
                                  <b key="trailing">N</b>
                                  <b key="leading">N</b>
                                </be>
                                <s key="codStile">Total_amounts</s>
                              </be>
                            </l>
                          </value>
                          <key>
                            <s>46524D4F424A-45-48454144455253----524F5753-234E2F41-48454144455253-234E2F41</s>
                          </key>
                          <value>
                            <l ln="1" refId="481">
                              <be clsId="StyleRule" refId="482">
                                <be key="ruleCondition" clsId="StyleRuleCondition" refId="483">
                                  <b key="trailing">N</b>
                                  <b key="leading">N</b>
                                </be>
                                <s key="codStile">Total_head</s>
                              </be>
                            </l>
                          </value>
                        </m>
                        <e key="tipoClient" id="TipoClient" refId="484">NET</e>
                      </be>
                    </value>
                  </m>
                  <i key="index">1</i>
                  <b key="subtotalOnTop">N</b>
                  <b key="showZeros">N</b>
                  <be key="rowHeaders" clsId="ReportingHeaders" refId="485">
                    <m key="headers" refId="486">
                      <key>
                        <i>-1</i>
                      </key>
                      <value>
                        <l ln="1" refId="487">
                          <s>$Cust_Dim2(HIERARCHY("01")).desc</s>
                        </l>
                      </value>
                    </m>
                    <m key="headersDims" refId="488">
                      <key>
                        <i>-1</i>
                      </key>
                      <value>
                        <s>DEST2_01</s>
                      </value>
                    </m>
                  </be>
                  <m key="forcedEditModes" refId="489"/>
                  <i key="maxCols">0</i>
                  <set key="forcedContentCells" ln="0" refId="490"/>
                  <s key="forcedBreakBackType">X</s>
                  <be key="rows" clsId="FilterNode" refId="491">
                    <l key="AdHocParamDimensionOids" ln="0" refId="492"/>
                    <cust key="id" clsId="FilterOid">1</cust>
                    <i key="index">0</i>
                    <s key="desc">Rows</s>
                    <be key="data" clsId="FilterNodeData" refId="493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491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2" refId="494">
                      <be clsId="FilterNode" refId="495">
                        <l key="AdHocParamDimensionOids" ln="0" refId="496"/>
                        <cust key="id" clsId="FilterOid">184</cust>
                        <i key="index">0</i>
                        <s key="desc"/>
                        <s key="cod"/>
                        <be key="data" clsId="FilterNodeData" refId="497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DEST2_01</s>
                          <ref key="filterNode" refId="495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e key="dinamico" clsId="ReportingDinamicita" refId="498">
                            <b key="allowOpenNewElements">N</b>
                            <b key="withSubtotalUntilStartingNode">N</b>
                            <e key="dynamicType" id="DynamicEnum" refId="499">LL</e>
                            <e key="pruning" id="PruningEnum" refId="500">N</e>
                            <b key="detailSubtotal">S</b>
                            <s key="advancedScript"/>
                            <i key="addictionalRowsToOpen">100</i>
                            <b key="isPartecipatedCompany">N</b>
                            <b key="withSubtotal">S</b>
                          </be>
                          <b key="placeHolder">N</b>
                          <ref key="dataType" refId="93"/>
                          <l key="nav" ln="0" refId="501"/>
                          <i key="sco">0</i>
                        </be>
                        <ref key="parent" refId="491"/>
                        <l key="children" ln="0" refId="502"/>
                        <b key="leaf">N</b>
                        <l key="dimensionOids" ln="1" refId="503">
                          <cust clsId="DimensionOid">44455354325F3031-45-2444455354325F30315F50--50-</cust>
                        </l>
                      </be>
                      <be clsId="FilterNode" refId="504">
                        <l key="AdHocParamDimensionOids" ln="0" refId="505"/>
                        <cust key="id" clsId="FilterOid">187</cust>
                        <i key="index">1</i>
                        <s key="desc"/>
                        <s key="cod"/>
                        <be key="data" clsId="FilterNodeData" refId="506">
                          <b key="breakLevelSubtotal">N</b>
                          <ref key="weight" refId="86"/>
                          <ref key="segment" refId="87"/>
                          <ref key="change" refId="88"/>
                          <b key="prevailingDataType">N</b>
                          <be key="dictionaryHeader" clsId="MultiDesc" refId="507">
                            <a key="desc" refId="508" ln="4" eid="SYS_STR">
                              <s>Total</s>
                              <s>Total</s>
                              <s>Total</s>
                              <nl/>
                            </a>
                          </be>
                          <s key="dim">DEST2_01</s>
                          <ref key="filterNode" refId="504"/>
                          <i key="segmentLevel">0</i>
                          <b key="signChange">N</b>
                          <b key="complementary">N</b>
                          <s key="adHocStyleSheetId">3</s>
                          <b key="applyFiltersForForcedScenarioPeriodoMap">N</b>
                          <b key="lineSplit">N</b>
                          <be key="reportingFormula" clsId="ReportingFormula" refId="509">
                            <b key="formulaRule">N</b>
                            <b key="serverFormula">N</b>
                            <s key="formula">SUBTOTAL(9,{184}:{184})</s>
                          </be>
                          <b key="addRCRow">N</b>
                          <ref key="editability" refId="92"/>
                          <b key="nativeSignChange">N</b>
                          <b key="placeHolder">S</b>
                          <ref key="dataType" refId="93"/>
                          <l key="nav" ln="0" refId="510"/>
                          <i key="sco">0</i>
                        </be>
                        <ref key="parent" refId="491"/>
                        <l key="children" ln="0" refId="511"/>
                        <b key="leaf">N</b>
                        <l key="dimensionOids" ln="0" refId="512"/>
                      </be>
                    </l>
                    <b key="leaf">N</b>
                    <l key="dimensionOids" ln="0" refId="513"/>
                  </be>
                  <b key="useForcedBoundDims">N</b>
                  <e key="colsExpansionMode" id="RowColExpansionMode" refId="514">1</e>
                  <b key="UseTxlDeFormEditor">N</b>
                  <e key="columnsAutofitMode" id="ColumnsAutofitMode" refId="515">0</e>
                  <b key="bindOriginalAmountOnSave">N</b>
                  <be key="matrixFilters" clsId="FilterNode" refId="516">
                    <l key="AdHocParamDimensionOids" ln="0" refId="517"/>
                    <cust key="id" clsId="FilterOid">1</cust>
                    <i key="index">0</i>
                    <s key="desc">Matrix</s>
                    <be key="data" clsId="FilterNodeData" refId="518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516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519">
                      <be clsId="FilterNode" refId="520">
                        <l key="AdHocParamDimensionOids" ln="0" refId="521"/>
                        <cust key="id" clsId="FilterOid">4</cust>
                        <i key="index">0</i>
                        <s key="desc"/>
                        <s key="cod"/>
                        <be key="data" clsId="FilterNodeData" refId="522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DEST3</s>
                          <ref key="filterNode" refId="520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523"/>
                          <i key="sco">0</i>
                        </be>
                        <ref key="parent" refId="516"/>
                        <l key="children" ln="1" refId="524">
                          <be clsId="FilterNode" refId="525">
                            <l key="AdHocParamDimensionOids" ln="0" refId="526"/>
                            <cust key="id" clsId="FilterOid">6</cust>
                            <i key="index">0</i>
                            <s key="desc"/>
                            <s key="cod"/>
                            <be key="data" clsId="FilterNodeData" refId="527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DEST1</s>
                              <ref key="filterNode" refId="525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l key="nav" ln="0" refId="528"/>
                              <i key="sco">0</i>
                            </be>
                            <ref key="parent" refId="520"/>
                            <l key="children" ln="1" refId="529">
                              <be clsId="FilterNode" refId="530">
                                <l key="AdHocParamDimensionOids" ln="0" refId="531"/>
                                <cust key="id" clsId="FilterOid">8</cust>
                                <i key="index">0</i>
                                <s key="desc"/>
                                <s key="cod"/>
                                <be key="data" clsId="FilterNodeData" refId="532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CAT</s>
                                  <ref key="filterNode" refId="530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533"/>
                                  <i key="sco">0</i>
                                </be>
                                <ref key="parent" refId="525"/>
                                <l key="children" ln="1" refId="534">
                                  <be clsId="FilterNode" refId="535">
                                    <l key="AdHocParamDimensionOids" ln="0" refId="536"/>
                                    <cust key="id" clsId="FilterOid">10</cust>
                                    <i key="index">0</i>
                                    <s key="desc"/>
                                    <s key="cod"/>
                                    <be key="data" clsId="FilterNodeData" refId="537">
                                      <b key="breakLevelSubtotal">N</b>
                                      <ref key="weight" refId="86"/>
                                      <ref key="segment" refId="119"/>
                                      <ref key="change" refId="120"/>
                                      <b key="prevailingDataType">N</b>
                                      <s key="dim">TIP</s>
                                      <ref key="filterNode" refId="535"/>
                                      <i key="segmentLevel">0</i>
                                      <b key="signChange">N</b>
                                      <b key="complementary">N</b>
                                      <s key="adHocStyleSheetId"/>
                                      <b key="applyFiltersForForcedScenarioPeriodoMap">N</b>
                                      <b key="lineSplit">N</b>
                                      <b key="addRCRow">N</b>
                                      <ref key="editability" refId="92"/>
                                      <b key="nativeSignChange">N</b>
                                      <b key="placeHolder">N</b>
                                      <ref key="dataType" refId="93"/>
                                      <l key="nav" ln="0" refId="538"/>
                                      <i key="sco">0</i>
                                    </be>
                                    <ref key="parent" refId="530"/>
                                    <l key="children" ln="1" refId="539">
                                      <be clsId="FilterNode" refId="540">
                                        <l key="AdHocParamDimensionOids" ln="0" refId="541"/>
                                        <cust key="id" clsId="FilterOid">28</cust>
                                        <i key="index">0</i>
                                        <be key="data" clsId="FilterNodeData" refId="542">
                                          <b key="breakLevelSubtotal">N</b>
                                          <ref key="weight" refId="86"/>
                                          <ref key="segment" refId="119"/>
                                          <ref key="change" refId="120"/>
                                          <b key="prevailingDataType">N</b>
                                          <s key="dim">VOC_$</s>
                                          <ref key="filterNode" refId="540"/>
                                          <i key="segmentLevel">0</i>
                                          <b key="signChange">N</b>
                                          <b key="complementary">N</b>
                                          <b key="applyFiltersForForcedScenarioPeriodoMap">N</b>
                                          <b key="lineSplit">N</b>
                                          <b key="addRCRow">N</b>
                                          <ref key="editability" refId="92"/>
                                          <b key="nativeSignChange">N</b>
                                          <b key="placeHolder">N</b>
                                          <ref key="dataType" refId="93"/>
                                          <i key="sco">0</i>
                                        </be>
                                        <ref key="parent" refId="535"/>
                                        <b key="leaf">N</b>
                                        <l key="dimensionOids" ln="1" refId="543">
                                          <cust clsId="DimensionOid">564F435F24-45-3930303130---</cust>
                                        </l>
                                      </be>
                                    </l>
                                    <b key="leaf">N</b>
                                    <l key="dimensionOids" ln="1" refId="544">
                                      <cust clsId="DimensionOid">544950-45-5449505F4F---</cust>
                                    </l>
                                  </be>
                                </l>
                                <b key="leaf">N</b>
                                <l key="dimensionOids" ln="1" refId="545">
                                  <cust clsId="DimensionOid">434154-45-24414D4F554E54---</cust>
                                </l>
                              </be>
                            </l>
                            <b key="leaf">N</b>
                            <l key="dimensionOids" ln="1" refId="546">
                              <cust clsId="DimensionOid">4445535431-45-473031---</cust>
                            </l>
                          </be>
                        </l>
                        <b key="leaf">N</b>
                        <l key="dimensionOids" ln="1" refId="547">
                          <cust clsId="DimensionOid">4445535433-45-473031---</cust>
                        </l>
                      </be>
                    </l>
                    <b key="leaf">N</b>
                    <l key="dimensionOids" ln="0" refId="548"/>
                  </be>
                  <b key="excludeValuatingSheetsWithZeroValues">N</b>
                  <b key="showLink">N</b>
                  <e key="tipoAllineamentoLordiIC" id="TipoAllineamentoLordiIC" refId="549">X</e>
                  <e key="disableHints" id="MatrixHintsPolicy" refId="550">N</e>
                  <i key="maxRows">0</i>
                  <b key="onlyFirstHeader">N</b>
                  <set key="forcedDimensions" ln="2" refId="551">
                    <s>SCE_$</s>
                    <s>SCE</s>
                  </set>
                  <b key="askNumRows">N</b>
                  <b key="replaceWithPlaceholder">S</b>
                </be>
              </value>
            </m>
            <m key="actionLists" refId="552">
              <key>
                <s>Hyperlink00</s>
              </key>
              <value>
                <be clsId="ActionList" refId="553">
                  <be key="rootStep" clsId="ActionNode" refId="554">
                    <cust key="id" clsId="FilterOid">1</cust>
                    <i key="index">0</i>
                    <l key="children" ln="1" refId="555">
                      <be clsId="ActionNode" refId="556">
                        <cust key="id" clsId="FilterOid">3</cust>
                        <i key="index">0</i>
                        <ref key="parent" refId="554"/>
                        <l key="children" ln="0" refId="557"/>
                        <be key="parameters" clsId="OpenReportParameters" refId="558">
                          <l key="oidReports" ln="1" refId="559">
                            <cust clsId="DimensionOid">50524F53504554544F-45-323036305F313031-3036--</cust>
                          </l>
                          <e key="valuelessParamMode" id="ValuelessParamMode" refId="560">1</e>
                          <be key="parametersMapping" clsId="ParametersMapping" refId="561">
                            <be key="ParametersUnion" clsId="ParametersUnion" refId="562">
                              <m key="AdHocParameters" refId="563"/>
                              <m key="AdHocVisibilities" refId="564"/>
                              <l key="AreaNames" ln="0" refId="565"/>
                              <l key="SystemParameters" ln="0" refId="566"/>
                              <m key="SystemVisibilities" refId="567"/>
                            </be>
                          </be>
                          <b key="inheritProcessCode">S</b>
                          <e key="openTargetMode" id="OpenTargetMode" refId="568">I</e>
                        </be>
                        <b key="leaf">N</b>
                        <s key="actionDescriptorCode">OPEN</s>
                      </be>
                    </l>
                    <be key="parameters" clsId="ActionListParameters" refId="569">
                      <be key="desc" clsId="MultiDesc" refId="570">
                        <a key="desc" refId="571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  <s key="cod">Hyperlink00</s>
                    </be>
                    <b key="leaf">N</b>
                    <s key="actionDescriptorCode">AL</s>
                  </be>
                </be>
              </value>
              <key>
                <s>Hyperlink01</s>
              </key>
              <value>
                <be clsId="ActionList" refId="572">
                  <be key="rootStep" clsId="ActionNode" refId="573">
                    <cust key="id" clsId="FilterOid">1</cust>
                    <i key="index">0</i>
                    <l key="children" ln="1" refId="574">
                      <be clsId="ActionNode" refId="575">
                        <cust key="id" clsId="FilterOid">2</cust>
                        <i key="index">0</i>
                        <ref key="parent" refId="573"/>
                        <be key="parameters" clsId="RunMacroParameters" refId="576">
                          <s key="macroName">Process_BI</s>
                          <b key="runUnprotected">N</b>
                        </be>
                        <b key="leaf">N</b>
                        <s key="actionDescriptorCode">MACRO</s>
                      </be>
                    </l>
                    <be key="parameters" clsId="ActionListParameters" refId="577">
                      <be key="desc" clsId="MultiDesc" refId="578">
                        <a key="desc" refId="579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  <s key="cod">Hyperlink01</s>
                    </be>
                    <b key="leaf">N</b>
                    <s key="actionDescriptorCode">AL</s>
                  </be>
                </be>
              </value>
            </m>
            <l key="areas" ln="0" refId="580"/>
            <m key="queries" refId="581"/>
          </be>
        </value>
        <key>
          <s>Template00</s>
        </key>
        <value>
          <be clsId="ReportTemplateVO" refId="582">
            <m key="controlExpressions" refId="583"/>
            <s key="desc">Unit Price &amp; Cost</s>
            <l key="pivots" ln="0" refId="584"/>
            <s key="code">Template00</s>
            <m key="dictionary" refId="585"/>
            <be key="sheets" clsId="FilterNode" refId="586">
              <l key="AdHocParamDimensionOids" ln="0" refId="587"/>
              <cust key="id" clsId="FilterOid">1</cust>
              <i key="index">0</i>
              <s key="desc">Tab filters</s>
              <s key="cod">ROOT</s>
              <be key="data" clsId="FilterNodeData" refId="588">
                <b key="breakLevelSubtotal">N</b>
                <ref key="weight" refId="86"/>
                <ref key="segment" refId="119"/>
                <ref key="change" refId="120"/>
                <b key="prevailingDataType">N</b>
                <ref key="filterNode" refId="586"/>
                <i key="segmentLevel">0</i>
                <b key="signChange">N</b>
                <b key="complementary">N</b>
                <b key="applyFiltersForForcedScenarioPeriodoMap">N</b>
                <b key="lineSplit">N</b>
                <b key="addRCRow">N</b>
                <ref key="editability" refId="92"/>
                <b key="nativeSignChange">N</b>
                <b key="placeHolder">N</b>
                <ref key="dataType" refId="93"/>
                <i key="sco">0</i>
              </be>
              <b key="leaf">N</b>
              <l key="dimensionOids" ln="0" refId="589"/>
            </be>
            <m key="cellFields" refId="590">
              <key>
                <s>$D$6</s>
              </key>
              <value>
                <be clsId="CodeCellField" refId="591">
                  <s key="cellField">$Scenario.desc</s>
                  <s key="code">$D$6</s>
                </be>
              </value>
              <key>
                <s>$D$3</s>
              </key>
              <value>
                <be clsId="CodeCellField" refId="592">
                  <s key="cellField">report.desc</s>
                  <s key="code">$D$3</s>
                </be>
              </value>
            </m>
            <l key="charts" ln="0" refId="593"/>
            <m key="launchers" refId="594"/>
            <m key="inlineParameters" refId="595">
              <key>
                <s>InlineParameter00</s>
              </key>
              <value>
                <be clsId="CodedInlineParameter" refId="596">
                  <be key="inlineParameter" clsId="InlineParameter" refId="597">
                    <cust key="oid" clsId="DimensionOid">415A495F3130-45-24415A495F31305F50--50-</cust>
                  </be>
                  <s key="code">InlineParameter00</s>
                </be>
              </value>
              <key>
                <s>InlineParameter01</s>
              </key>
              <value>
                <be clsId="CodedInlineParameter" refId="598">
                  <be key="inlineParameter" clsId="InlineParameter" refId="599">
                    <cust key="oid" clsId="DimensionOid">44455354325F3031-45-2444455354325F30315F50--50-</cust>
                  </be>
                  <s key="code">InlineParameter01</s>
                </be>
              </value>
            </m>
            <m key="matrices" refId="600">
              <key>
                <s>UNIT PRICES &amp; COSTS</s>
              </key>
              <value>
                <be clsId="MatrixPositionBlockVO" refId="601">
                  <b key="allowRangeBreak">N</b>
                  <b key="leavesFirst">N</b>
                  <s key="forcedBreakBackRefLeaf">X</s>
                  <be key="columns" clsId="FilterNode" refId="602">
                    <l key="AdHocParamDimensionOids" ln="0" refId="603"/>
                    <cust key="id" clsId="FilterOid">1</cust>
                    <i key="index">0</i>
                    <s key="desc">Columns</s>
                    <be key="data" clsId="FilterNodeData" refId="604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02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05">
                      <be clsId="FilterNode" refId="606">
                        <l key="AdHocParamDimensionOids" ln="0" refId="607"/>
                        <cust key="id" clsId="FilterOid">2</cust>
                        <i key="index">0</i>
                        <s key="desc"/>
                        <s key="cod"/>
                        <be key="data" clsId="FilterNodeData" refId="608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PER</s>
                          <ref key="filterNode" refId="606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609"/>
                          <i key="sco">0</i>
                        </be>
                        <ref key="parent" refId="602"/>
                        <l key="children" ln="4" refId="610">
                          <be clsId="FilterNode" refId="611">
                            <l key="AdHocParamDimensionOids" ln="0" refId="612"/>
                            <cust key="id" clsId="FilterOid">26</cust>
                            <i key="index">0</i>
                            <s key="desc"/>
                            <s key="cod"/>
                            <be key="data" clsId="FilterNodeData" refId="613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VOC_01</s>
                              <ref key="filterNode" refId="611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614"/>
                              <i key="sco">0</i>
                            </be>
                            <ref key="parent" refId="606"/>
                            <l key="children" ln="0" refId="615"/>
                            <b key="leaf">N</b>
                            <l key="dimensionOids" ln="1" refId="616">
                              <cust clsId="DimensionOid">564F435F3031-45-3930303230---</cust>
                            </l>
                          </be>
                          <be clsId="FilterNode" refId="617">
                            <l key="AdHocParamDimensionOids" ln="0" refId="618"/>
                            <cust key="id" clsId="FilterOid">39</cust>
                            <i key="index">3</i>
                            <s key="desc"/>
                            <s key="cod"/>
                            <be key="data" clsId="FilterNodeData" refId="61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VOC_01</s>
                              <ref key="filterNode" refId="617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204"/>
                              <b key="nativeSignChange">N</b>
                              <b key="placeHolder">N</b>
                              <ref key="dataType" refId="93"/>
                              <l key="nav" ln="0" refId="620"/>
                              <i key="sco">0</i>
                            </be>
                            <ref key="parent" refId="606"/>
                            <l key="children" ln="0" refId="621"/>
                            <b key="leaf">N</b>
                            <l key="dimensionOids" ln="1" refId="622">
                              <cust clsId="DimensionOid">564F435F3031-45-3930303330---</cust>
                            </l>
                          </be>
                          <be clsId="FilterNode" refId="623">
                            <l key="AdHocParamDimensionOids" ln="0" refId="624"/>
                            <cust key="id" clsId="FilterOid">64</cust>
                            <i key="index">0</i>
                            <s key="desc"/>
                            <s key="cod">PH</s>
                            <be key="data" clsId="FilterNodeData" refId="625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be key="dictionaryHeader" clsId="MultiDesc" refId="626">
                                <a key="desc" refId="627" ln="4" eid="SYS_STR">
                                  <s>Margin</s>
                                  <s>Margin</s>
                                  <s>Margin</s>
                                  <nl/>
                                </a>
                              </be>
                              <s key="dim">VOC_01</s>
                              <ref key="filterNode" refId="623"/>
                              <i key="segmentLevel">0</i>
                              <b key="signChange">N</b>
                              <b key="complementary">N</b>
                              <b key="applyFiltersForForcedScenarioPeriodoMap">N</b>
                              <b key="lineSplit">N</b>
                              <be key="reportingFormula" clsId="ReportingFormula" refId="628">
                                <b key="formulaRule">N</b>
                                <b key="serverFormula">N</b>
                                <s key="formula">{26}-{39}</s>
                              </be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i key="sco">0</i>
                            </be>
                            <ref key="parent" refId="606"/>
                            <b key="leaf">N</b>
                            <l key="dimensionOids" ln="0" refId="629"/>
                          </be>
                          <be clsId="FilterNode" refId="630">
                            <l key="AdHocParamDimensionOids" ln="0" refId="631"/>
                            <cust key="id" clsId="FilterOid">65</cust>
                            <i key="index">0</i>
                            <s key="desc"/>
                            <s key="cod">PH</s>
                            <be key="data" clsId="FilterNodeData" refId="632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be key="dictionaryHeader" clsId="MultiDesc" refId="633">
                                <a key="desc" refId="634" ln="4" eid="SYS_STR">
                                  <s>Margin %</s>
                                  <s>Margin %</s>
                                  <s>Margin %</s>
                                  <nl/>
                                </a>
                              </be>
                              <s key="dim">VOC_01</s>
                              <ref key="filterNode" refId="630"/>
                              <i key="segmentLevel">0</i>
                              <b key="signChange">N</b>
                              <b key="complementary">N</b>
                              <s key="adHocStyleSheetId">1</s>
                              <b key="applyFiltersForForcedScenarioPeriodoMap">N</b>
                              <b key="lineSplit">N</b>
                              <be key="reportingFormula" clsId="ReportingFormula" refId="635">
                                <b key="formulaRule">S</b>
                                <b key="serverFormula">N</b>
                                <s key="formula">if({39}=0,0,{26}/{39}-1)</s>
                              </be>
                              <b key="addRCRow">N</b>
                              <ref key="editability" refId="92"/>
                              <b key="nativeSignChange">N</b>
                              <b key="placeHolder">S</b>
                              <ref key="dataType" refId="93"/>
                              <i key="sco">0</i>
                            </be>
                            <ref key="parent" refId="606"/>
                            <b key="leaf">N</b>
                            <l key="dimensionOids" ln="0" refId="636"/>
                          </be>
                        </l>
                        <b key="leaf">N</b>
                        <l key="dimensionOids" ln="1" refId="637">
                          <cust clsId="DimensionOid">504552-45-3132---</cust>
                        </l>
                      </be>
                    </l>
                    <b key="leaf">N</b>
                    <l key="dimensionOids" ln="0" refId="638"/>
                  </be>
                  <b key="groupSubtotal">N</b>
                  <be key="columnHeaders" clsId="ReportingHeaders" refId="639">
                    <m key="headers" refId="640">
                      <key>
                        <i>-1</i>
                      </key>
                      <value>
                        <l ln="1" refId="641">
                          <s>$Account(HIERARCHY("01")).desc</s>
                        </l>
                      </value>
                    </m>
                    <m key="headersDims" refId="642">
                      <key>
                        <i>-1</i>
                      </key>
                      <value>
                        <s>VOC_01</s>
                      </value>
                    </m>
                  </be>
                  <b key="allowOpenNewElements">N</b>
                  <ref key="rowsExpansionMode" refId="470"/>
                  <s key="positionID">UNIT PRICES &amp; COSTS</s>
                  <ref key="styleType" refId="473"/>
                  <b key="autoOpenNewElements">N</b>
                  <m key="addictionalStyleSheets" refId="643">
                    <key>
                      <s>1</s>
                    </key>
                    <value>
                      <be clsId="StyleSheet" refId="644">
                        <ref key="applyFirst" refId="476"/>
                        <s key="cod">TGK_01</s>
                        <d key="dateUpd">1350477861153</d>
                        <m key="rules" refId="645">
                          <key>
                            <s>46524D4F424A-4E----</s>
                          </key>
                          <value>
                            <l ln="1" refId="646">
                              <be clsId="StyleRule" refId="647">
                                <be key="ruleCondition" clsId="StyleRuleCondition" refId="648">
                                  <b key="trailing">N</b>
                                  <b key="leading">N</b>
                                </be>
                                <s key="codStile">%0.00</s>
                              </be>
                            </l>
                          </value>
                        </m>
                        <ref key="tipoClient" refId="484"/>
                      </be>
                    </value>
                  </m>
                  <i key="index">1</i>
                  <b key="subtotalOnTop">N</b>
                  <b key="showZeros">N</b>
                  <be key="rowHeaders" clsId="ReportingHeaders" refId="649">
                    <m key="headers" refId="650">
                      <key>
                        <i>-2</i>
                      </key>
                      <value>
                        <l ln="1" refId="651">
                          <s>$Cust_Dim2(HIERARCHY("01")).code</s>
                        </l>
                      </value>
                      <key>
                        <i>-1</i>
                      </key>
                      <value>
                        <l ln="1" refId="652">
                          <s>$Cust_Dim2(HIERARCHY("01")).desc</s>
                        </l>
                      </value>
                    </m>
                    <m key="headersDims" refId="653">
                      <key>
                        <i>-2</i>
                      </key>
                      <value>
                        <s>DEST2_01</s>
                      </value>
                      <key>
                        <i>-1</i>
                      </key>
                      <value>
                        <s>DEST2_01</s>
                      </value>
                    </m>
                  </be>
                  <m key="forcedEditModes" refId="654"/>
                  <i key="maxCols">0</i>
                  <set key="forcedContentCells" ln="0" refId="655"/>
                  <s key="forcedBreakBackType">X</s>
                  <be key="rows" clsId="FilterNode" refId="656">
                    <l key="AdHocParamDimensionOids" ln="0" refId="657"/>
                    <cust key="id" clsId="FilterOid">1</cust>
                    <i key="index">0</i>
                    <s key="desc">Rows</s>
                    <be key="data" clsId="FilterNodeData" refId="658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56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59">
                      <be clsId="FilterNode" refId="660">
                        <l key="AdHocParamDimensionOids" ln="0" refId="661"/>
                        <cust key="id" clsId="FilterOid">119</cust>
                        <i key="index">1</i>
                        <s key="desc"/>
                        <s key="cod"/>
                        <be key="data" clsId="FilterNodeData" refId="662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DEST2_01</s>
                          <ref key="filterNode" refId="660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204"/>
                          <b key="nativeSignChange">N</b>
                          <be key="dinamico" clsId="ReportingDinamicita" refId="663">
                            <b key="allowOpenNewElements">N</b>
                            <b key="withSubtotalUntilStartingNode">N</b>
                            <ref key="dynamicType" refId="499"/>
                            <ref key="pruning" refId="500"/>
                            <b key="detailSubtotal">S</b>
                            <s key="advancedScript"/>
                            <i key="addictionalRowsToOpen">100</i>
                            <b key="isPartecipatedCompany">N</b>
                            <b key="withSubtotal">N</b>
                          </be>
                          <b key="placeHolder">N</b>
                          <ref key="dataType" refId="93"/>
                          <l key="nav" ln="0" refId="664"/>
                          <i key="sco">0</i>
                        </be>
                        <ref key="parent" refId="656"/>
                        <l key="children" ln="0" refId="665"/>
                        <b key="leaf">N</b>
                        <l key="dimensionOids" ln="1" refId="666">
                          <cust clsId="DimensionOid">44455354325F3031-45-2444455354325F30315F50--50-</cust>
                        </l>
                      </be>
                    </l>
                    <b key="leaf">N</b>
                    <l key="dimensionOids" ln="0" refId="667"/>
                  </be>
                  <b key="useForcedBoundDims">N</b>
                  <ref key="colsExpansionMode" refId="514"/>
                  <b key="UseTxlDeFormEditor">N</b>
                  <ref key="columnsAutofitMode" refId="515"/>
                  <b key="bindOriginalAmountOnSave">N</b>
                  <be key="matrixFilters" clsId="FilterNode" refId="668">
                    <l key="AdHocParamDimensionOids" ln="0" refId="669"/>
                    <cust key="id" clsId="FilterOid">1</cust>
                    <i key="index">0</i>
                    <s key="desc">Matrix</s>
                    <be key="data" clsId="FilterNodeData" refId="670">
                      <b key="breakLevelSubtotal">N</b>
                      <ref key="weight" refId="86"/>
                      <ref key="segment" refId="87"/>
                      <ref key="change" refId="88"/>
                      <b key="prevailingDataType">N</b>
                      <ref key="filterNode" refId="668"/>
                      <i key="segmentLevel">0</i>
                      <b key="signChange">N</b>
                      <b key="complementary">N</b>
                      <b key="applyFiltersForForcedScenarioPeriodoMap">N</b>
                      <b key="lineSplit">N</b>
                      <b key="addRCRow">N</b>
                      <ref key="editability" refId="92"/>
                      <b key="nativeSignChange">N</b>
                      <b key="placeHolder">N</b>
                      <ref key="dataType" refId="93"/>
                      <i key="sco">0</i>
                    </be>
                    <l key="children" ln="1" refId="671">
                      <be clsId="FilterNode" refId="672">
                        <l key="AdHocParamDimensionOids" ln="0" refId="673"/>
                        <cust key="id" clsId="FilterOid">2</cust>
                        <i key="index">0</i>
                        <s key="desc"/>
                        <s key="cod"/>
                        <be key="data" clsId="FilterNodeData" refId="674">
                          <b key="breakLevelSubtotal">N</b>
                          <ref key="weight" refId="86"/>
                          <ref key="segment" refId="119"/>
                          <ref key="change" refId="120"/>
                          <b key="prevailingDataType">N</b>
                          <s key="dim">TIP</s>
                          <ref key="filterNode" refId="672"/>
                          <i key="segmentLevel">0</i>
                          <b key="signChange">N</b>
                          <b key="complementary">N</b>
                          <s key="adHocStyleSheetId"/>
                          <b key="applyFiltersForForcedScenarioPeriodoMap">N</b>
                          <b key="lineSplit">N</b>
                          <b key="addRCRow">N</b>
                          <ref key="editability" refId="92"/>
                          <b key="nativeSignChange">N</b>
                          <b key="placeHolder">N</b>
                          <ref key="dataType" refId="93"/>
                          <l key="nav" ln="0" refId="675"/>
                          <i key="sco">0</i>
                        </be>
                        <ref key="parent" refId="668"/>
                        <l key="children" ln="1" refId="676">
                          <be clsId="FilterNode" refId="677">
                            <l key="AdHocParamDimensionOids" ln="0" refId="678"/>
                            <cust key="id" clsId="FilterOid">4</cust>
                            <i key="index">0</i>
                            <s key="desc"/>
                            <s key="cod"/>
                            <be key="data" clsId="FilterNodeData" refId="679">
                              <b key="breakLevelSubtotal">N</b>
                              <ref key="weight" refId="86"/>
                              <ref key="segment" refId="119"/>
                              <ref key="change" refId="120"/>
                              <b key="prevailingDataType">N</b>
                              <s key="dim">CAT</s>
                              <ref key="filterNode" refId="677"/>
                              <i key="segmentLevel">0</i>
                              <b key="signChange">N</b>
                              <b key="complementary">N</b>
                              <s key="adHocStyleSheetId"/>
                              <b key="applyFiltersForForcedScenarioPeriodoMap">N</b>
                              <b key="lineSplit">N</b>
                              <b key="addRCRow">N</b>
                              <ref key="editability" refId="92"/>
                              <b key="nativeSignChange">N</b>
                              <b key="placeHolder">N</b>
                              <ref key="dataType" refId="93"/>
                              <l key="nav" ln="0" refId="680"/>
                              <i key="sco">0</i>
                            </be>
                            <ref key="parent" refId="672"/>
                            <l key="children" ln="1" refId="681">
                              <be clsId="FilterNode" refId="682">
                                <l key="AdHocParamDimensionOids" ln="0" refId="683"/>
                                <cust key="id" clsId="FilterOid">8</cust>
                                <i key="index">0</i>
                                <s key="desc"/>
                                <s key="cod"/>
                                <be key="data" clsId="FilterNodeData" refId="684">
                                  <b key="breakLevelSubtotal">N</b>
                                  <ref key="weight" refId="86"/>
                                  <ref key="segment" refId="119"/>
                                  <ref key="change" refId="120"/>
                                  <b key="prevailingDataType">N</b>
                                  <s key="dim">DEST1</s>
                                  <ref key="filterNode" refId="682"/>
                                  <i key="segmentLevel">0</i>
                                  <b key="signChange">N</b>
                                  <b key="complementary">N</b>
                                  <s key="adHocStyleSheetId"/>
                                  <b key="applyFiltersForForcedScenarioPeriodoMap">N</b>
                                  <b key="lineSplit">N</b>
                                  <b key="addRCRow">N</b>
                                  <ref key="editability" refId="92"/>
                                  <b key="nativeSignChange">N</b>
                                  <b key="placeHolder">N</b>
                                  <ref key="dataType" refId="93"/>
                                  <l key="nav" ln="0" refId="685"/>
                                  <i key="sco">0</i>
                                </be>
                                <ref key="parent" refId="677"/>
                                <l key="children" ln="1" refId="686">
                                  <be clsId="FilterNode" refId="687">
                                    <l key="AdHocParamDimensionOids" ln="0" refId="688"/>
                                    <cust key="id" clsId="FilterOid">17</cust>
                                    <i key="index">0</i>
                                    <s key="desc"/>
                                    <s key="cod"/>
                                    <be key="data" clsId="FilterNodeData" refId="689">
                                      <b key="breakLevelSubtotal">N</b>
                                      <ref key="weight" refId="86"/>
                                      <ref key="segment" refId="119"/>
                                      <ref key="change" refId="120"/>
                                      <b key="prevailingDataType">N</b>
                                      <s key="dim">LUNPER</s>
                                      <ref key="filterNode" refId="687"/>
                                      <i key="segmentLevel">0</i>
                                      <b key="signChange">N</b>
                                      <b key="complementary">N</b>
                                      <s key="adHocStyleSheetId"/>
                                      <b key="applyFiltersForForcedScenarioPeriodoMap">N</b>
                                      <b key="lineSplit">N</b>
                                      <b key="addRCRow">N</b>
                                      <ref key="editability" refId="92"/>
                                      <b key="nativeSignChange">N</b>
                                      <b key="placeHolder">N</b>
                                      <ref key="dataType" refId="93"/>
                                      <l key="nav" ln="0" refId="690"/>
                                      <i key="sco">0</i>
                                    </be>
                                    <ref key="parent" refId="682"/>
                                    <l key="children" ln="1" refId="691">
                                      <be clsId="FilterNode" refId="692">
                                        <l key="AdHocParamDimensionOids" ln="0" refId="693"/>
                                        <cust key="id" clsId="FilterOid">23</cust>
                                        <i key="index">0</i>
                                        <s key="desc"/>
                                        <s key="cod"/>
                                        <be key="data" clsId="FilterNodeData" refId="694">
                                          <b key="breakLevelSubtotal">N</b>
                                          <ref key="weight" refId="86"/>
                                          <ref key="segment" refId="119"/>
                                          <ref key="change" refId="120"/>
                                          <b key="prevailingDataType">N</b>
                                          <s key="dim">DEST3</s>
                                          <ref key="filterNode" refId="692"/>
                                          <i key="segmentLevel">0</i>
                                          <b key="signChange">N</b>
                                          <b key="complementary">N</b>
                                          <s key="adHocStyleSheetId"/>
                                          <b key="applyFiltersForForcedScenarioPeriodoMap">N</b>
                                          <b key="lineSplit">N</b>
                                          <b key="addRCRow">N</b>
                                          <ref key="editability" refId="92"/>
                                          <b key="nativeSignChange">N</b>
                                          <b key="placeHolder">N</b>
                                          <ref key="dataType" refId="93"/>
                                          <l key="nav" ln="0" refId="695"/>
                                          <i key="sco">0</i>
                                        </be>
                                        <ref key="parent" refId="687"/>
                                        <l key="children" ln="1" refId="696">
                                          <be clsId="FilterNode" refId="697">
                                            <l key="AdHocParamDimensionOids" ln="0" refId="698"/>
                                            <cust key="id" clsId="FilterOid">24</cust>
                                            <i key="index">0</i>
                                            <be key="data" clsId="FilterNodeData" refId="699">
                                              <b key="breakLevelSubtotal">N</b>
                                              <ref key="weight" refId="86"/>
                                              <ref key="segment" refId="119"/>
                                              <ref key="change" refId="120"/>
                                              <b key="prevailingDataType">N</b>
                                              <s key="dim">SCE</s>
                                              <ref key="filterNode" refId="697"/>
                                              <i key="segmentLevel">0</i>
                                              <b key="signChange">N</b>
                                              <b key="complementary">N</b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ref key="editability" refId="92"/>
                                              <b key="nativeSignChange">N</b>
                                              <b key="placeHolder">N</b>
                                              <ref key="dataType" refId="93"/>
                                              <i key="sco">0</i>
                                            </be>
                                            <ref key="parent" refId="692"/>
                                            <b key="leaf">N</b>
                                            <l key="dimensionOids" ln="1" refId="700">
                                              <cust clsId="DimensionOid">534345-45-5350424447--50-</cust>
                                            </l>
                                          </be>
                                        </l>
                                        <b key="leaf">N</b>
                                        <l key="dimensionOids" ln="1" refId="701">
                                          <cust clsId="DimensionOid">4445535433-45-473031---</cust>
                                        </l>
                                      </be>
                                    </l>
                                    <b key="leaf">N</b>
                                    <l key="dimensionOids" ln="1" refId="702">
                                      <cust clsId="DimensionOid">4C554E504552-45-4C554E5F31---</cust>
                                    </l>
                                  </be>
                                </l>
                                <b key="leaf">N</b>
                                <l key="dimensionOids" ln="1" refId="703">
                                  <cust clsId="DimensionOid">4445535431-45-473031---</cust>
                                </l>
                              </be>
                            </l>
                            <b key="leaf">N</b>
                            <l key="dimensionOids" ln="1" refId="704">
                              <cust clsId="DimensionOid">434154-45-24414D4F554E54---</cust>
                            </l>
                          </be>
                        </l>
                        <b key="leaf">N</b>
                        <l key="dimensionOids" ln="1" refId="705">
                          <cust clsId="DimensionOid">544950-45-5449505F4F56---</cust>
                        </l>
                      </be>
                    </l>
                    <b key="leaf">N</b>
                    <l key="dimensionOids" ln="0" refId="706"/>
                  </be>
                  <b key="excludeValuatingSheetsWithZeroValues">N</b>
                  <b key="showLink">N</b>
                  <ref key="tipoAllineamentoLordiIC" refId="549"/>
                  <ref key="disableHints" refId="550"/>
                  <i key="maxRows">0</i>
                  <b key="onlyFirstHeader">N</b>
                  <set key="forcedDimensions" ln="0" refId="707"/>
                  <b key="askNumRows">N</b>
                  <b key="replaceWithPlaceholder">S</b>
                </be>
              </value>
            </m>
            <m key="actionLists" refId="708">
              <key>
                <s>Hyperlink00</s>
              </key>
              <value>
                <be clsId="ActionList" refId="709">
                  <be key="rootStep" clsId="ActionNode" refId="710">
                    <cust key="id" clsId="FilterOid">1</cust>
                    <i key="index">0</i>
                    <s key="desc">Hyperlink00 - Hyperlink00</s>
                    <l key="children" ln="1" refId="711">
                      <be clsId="ActionNode" refId="712">
                        <cust key="id" clsId="FilterOid">2</cust>
                        <i key="index">0</i>
                        <s key="desc">Open Reports (RP_PQ)</s>
                        <ref key="parent" refId="710"/>
                        <be key="parameters" clsId="OpenReportParameters" refId="713">
                          <l key="oidReports" ln="1" refId="714">
                            <cust clsId="DimensionOid">50524F53504554544F-45-423131305F313030-42313130--</cust>
                          </l>
                          <ref key="valuelessParamMode" refId="560"/>
                          <be key="parametersMapping" clsId="ParametersMapping" refId="715">
                            <be key="ParametersUnion" clsId="ParametersUnion" refId="716">
                              <m key="AdHocParameters" refId="717"/>
                              <m key="AdHocVisibilities" refId="718"/>
                              <l key="AreaNames" ln="0" refId="719"/>
                              <l key="SystemParameters" ln="3" refId="720">
                                <be clsId="ProspParametroDim" refId="721">
                                  <b key="allowsCellField">S</b>
                                  <b key="allowsExplicit">S</b>
                                  <b key="dependent">N</b>
                                  <a key="allowedOids" refId="722" ln="0" eid="DimensionOid"/>
                                  <set key="oidValori" ln="0" refId="723"/>
                                  <b key="limProcessoDisabilitata">N</b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724">
                                    <a key="desc" refId="725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26">
                                  <b key="allowsCellField">S</b>
                                  <b key="allowsExplicit">S</b>
                                  <b key="dependent">N</b>
                                  <a key="allowedOids" refId="727" ln="0" eid="DimensionOid"/>
                                  <set key="oidValori" ln="0" refId="728"/>
                                  <b key="limProcessoDisabilitata">N</b>
                                  <b key="isAdHocParameter">N</b>
                                  <b key="netClient">S</b>
                                  <cust key="oid" clsId="DimensionOid">44455354325F3031-45-2444455354325F30315F50--50-</cust>
                                  <be key="multiDescVO" clsId="MultiDesc" refId="729">
                                    <a key="desc" refId="730" ln="4" eid="SYS_STR">
                                      <nl/>
                                      <s>Product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DEST2</s>
                                  <s key="codGerarchia">01</s>
                                  <s key="code">$DEST2_01_P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31">
                                  <e key="tipoDinamicita" id="DynamicEnum" refId="732"/>
                                  <b key="allowsCellField">S</b>
                                  <b key="allowsExplicit">S</b>
                                  <b key="dependent">N</b>
                                  <a key="allowedOids" refId="733" ln="4" eid="DimensionOid">
                                    <cust clsId="DimensionOid">534345-45-3230313241---</cust>
                                    <cust clsId="DimensionOid">534345-45-32303132424447---</cust>
                                    <cust clsId="DimensionOid">534345-45-323031324244475631---</cust>
                                    <cust clsId="DimensionOid">534345-45-323031324244475632---</cust>
                                  </a>
                                  <set key="oidValori" ln="0" refId="734"/>
                                  <b key="limProcessoDisabilitata">N</b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735">
                                    <a key="desc" refId="736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737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738">
                                    <b key="allValues">S</b>
                                    <set key="showOids" ln="0" refId="739"/>
                                  </be>
                                </value>
                                <key>
                                  <s>44455354325F3031-45-2444455354325F30315F50--50-</s>
                                </key>
                                <value>
                                  <be clsId="ParameterValuesVisibilities" refId="740">
                                    <b key="allValues">S</b>
                                    <set key="showOids" ln="0" refId="741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742">
                                    <b key="allValues">N</b>
                                    <set key="showOids" ln="4" refId="743">
                                      <cust clsId="DimensionOid">534345-45-3230313241---</cust>
                                      <cust clsId="DimensionOid">534345-45-323031324244475631---</cust>
                                      <cust clsId="DimensionOid">534345-45-32303132424447---</cust>
                                      <cust clsId="DimensionOid">534345-45-323031324244475632---</cust>
                                    </set>
                                  </be>
                                </value>
                              </m>
                            </be>
                            <m key="SystemParametersValues" refId="744">
                              <key>
                                <s>415A495F3130-45-24415A495F31305F50--50-</s>
                              </key>
                              <value>
                                <be clsId="StringParameterValue" refId="745">
                                  <s key="Value">${AUTO}</s>
                                  <e key="ParamSetType" id="ParamSetType" refId="746">AUTO_CONTESTO</e>
                                </be>
                              </value>
                              <key>
                                <s>44455354325F3031-45-2444455354325F30315F50--50-</s>
                              </key>
                              <value>
                                <be clsId="StringParameterValue" refId="747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748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749">
                      <be key="desc" clsId="MultiDesc" refId="750">
                        <a key="desc" refId="751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  <s key="cod">Hyperlink00</s>
                    </be>
                    <b key="leaf">N</b>
                    <s key="actionDescriptorCode">AL</s>
                  </be>
                </be>
              </value>
              <key>
                <s>Hyperlink01</s>
              </key>
              <value>
                <be clsId="ActionList" refId="752">
                  <be key="rootStep" clsId="ActionNode" refId="753">
                    <cust key="id" clsId="FilterOid">1</cust>
                    <i key="index">0</i>
                    <s key="desc">Hyperlink01 - Hyperlink01</s>
                    <l key="children" ln="1" refId="754">
                      <be clsId="ActionNode" refId="755">
                        <cust key="id" clsId="FilterOid">2</cust>
                        <i key="index">0</i>
                        <s key="desc">Open Reports (RP_GS)</s>
                        <ref key="parent" refId="753"/>
                        <be key="parameters" clsId="OpenReportParameters" refId="756">
                          <l key="oidReports" ln="1" refId="757">
                            <cust clsId="DimensionOid">50524F53504554544F-45-423131305F313032-42313130--</cust>
                          </l>
                          <ref key="valuelessParamMode" refId="560"/>
                          <be key="parametersMapping" clsId="ParametersMapping" refId="758">
                            <be key="ParametersUnion" clsId="ParametersUnion" refId="759">
                              <m key="AdHocParameters" refId="760"/>
                              <m key="AdHocVisibilities" refId="761"/>
                              <l key="AreaNames" ln="0" refId="762"/>
                              <l key="SystemParameters" ln="3" refId="763">
                                <be clsId="ProspParametroDim" refId="764">
                                  <b key="allowsCellField">S</b>
                                  <b key="allowsExplicit">S</b>
                                  <b key="dependent">N</b>
                                  <a key="allowedOids" refId="765" ln="0" eid="DimensionOid"/>
                                  <set key="oidValori" ln="0" refId="766"/>
                                  <b key="limProcessoDisabilitata">N</b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767">
                                    <a key="desc" refId="768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69">
                                  <b key="allowsCellField">S</b>
                                  <b key="allowsExplicit">S</b>
                                  <b key="dependent">N</b>
                                  <a key="allowedOids" refId="770" ln="0" eid="DimensionOid"/>
                                  <set key="oidValori" ln="0" refId="771"/>
                                  <b key="limProcessoDisabilitata">N</b>
                                  <b key="isAdHocParameter">N</b>
                                  <b key="netClient">S</b>
                                  <cust key="oid" clsId="DimensionOid">44455354325F3031-45-2444455354325F30315F50--50-</cust>
                                  <be key="multiDescVO" clsId="MultiDesc" refId="772">
                                    <a key="desc" refId="773" ln="4" eid="SYS_STR">
                                      <nl/>
                                      <s>Product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DEST2</s>
                                  <s key="codGerarchia">01</s>
                                  <s key="code">$DEST2_01_P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774">
                                  <ref key="tipoDinamicita" refId="732"/>
                                  <b key="allowsCellField">S</b>
                                  <b key="allowsExplicit">S</b>
                                  <b key="dependent">N</b>
                                  <a key="allowedOids" refId="775" ln="4" eid="DimensionOid">
                                    <cust clsId="DimensionOid">534345-45-3230313241---</cust>
                                    <cust clsId="DimensionOid">534345-45-32303132424447---</cust>
                                    <cust clsId="DimensionOid">534345-45-323031324244475631---</cust>
                                    <cust clsId="DimensionOid">534345-45-323031324244475632---</cust>
                                  </a>
                                  <set key="oidValori" ln="0" refId="776"/>
                                  <b key="limProcessoDisabilitata">N</b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777">
                                    <a key="desc" refId="778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779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780">
                                    <b key="allValues">S</b>
                                    <set key="showOids" ln="0" refId="781"/>
                                  </be>
                                </value>
                                <key>
                                  <s>44455354325F3031-45-2444455354325F30315F50--50-</s>
                                </key>
                                <value>
                                  <be clsId="ParameterValuesVisibilities" refId="782">
                                    <b key="allValues">S</b>
                                    <set key="showOids" ln="0" refId="783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784">
                                    <b key="allValues">N</b>
                                    <set key="showOids" ln="4" refId="785">
                                      <cust clsId="DimensionOid">534345-45-323031324244475631---</cust>
                                      <cust clsId="DimensionOid">534345-45-323031324244475632---</cust>
                                      <cust clsId="DimensionOid">534345-45-32303132424447---</cust>
                                      <cust clsId="DimensionOid">534345-45-3230313241---</cust>
                                    </set>
                                  </be>
                                </value>
                              </m>
                            </be>
                            <m key="SystemParametersValues" refId="786">
                              <key>
                                <s>415A495F3130-45-24415A495F31305F50--50-</s>
                              </key>
                              <value>
                                <be clsId="StringParameterValue" refId="787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44455354325F3031-45-2444455354325F30315F50--50-</s>
                              </key>
                              <value>
                                <be clsId="StringParameterValue" refId="788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789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790">
                      <be key="desc" clsId="MultiDesc" refId="791">
                        <a key="desc" refId="792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  <s key="cod">Hyperlink01</s>
                    </be>
                    <b key="leaf">N</b>
                    <s key="actionDescriptorCode">AL</s>
                  </be>
                </be>
              </value>
              <key>
                <s>Hyperlink02</s>
              </key>
              <value>
                <be clsId="ActionList" refId="793">
                  <be key="rootStep" clsId="ActionNode" refId="794">
                    <cust key="id" clsId="FilterOid">1</cust>
                    <i key="index">0</i>
                    <l key="children" ln="1" refId="795">
                      <be clsId="ActionNode" refId="796">
                        <cust key="id" clsId="FilterOid">2</cust>
                        <i key="index">0</i>
                        <ref key="parent" refId="794"/>
                        <be key="parameters" clsId="OpenReportParameters" refId="797">
                          <l key="oidReports" ln="1" refId="798">
                            <cust clsId="DimensionOid">50524F53504554544F-45-423131305F31303142-42313130--</cust>
                          </l>
                          <ref key="valuelessParamMode" refId="560"/>
                          <be key="parametersMapping" clsId="ParametersMapping" refId="799">
                            <be key="ParametersUnion" clsId="ParametersUnion" refId="800">
                              <m key="AdHocParameters" refId="801"/>
                              <m key="AdHocVisibilities" refId="802"/>
                              <l key="AreaNames" ln="0" refId="803"/>
                              <l key="SystemParameters" ln="2" refId="804">
                                <be clsId="ProspParametroDim" refId="805">
                                  <e key="autoValorizzaSeOmesso" id="AutoValorizzaSeOmessoEnum" refId="806">D</e>
                                  <b key="allowsCellField">S</b>
                                  <b key="allowsExplicit">S</b>
                                  <b key="dependent">N</b>
                                  <a key="allowedOids" refId="807" ln="0" eid="DimensionOid"/>
                                  <set key="oidValori" ln="0" refId="808"/>
                                  <b key="limProcessoDisabilitata">N</b>
                                  <e key="allowOr" id="AllowOrEnum" refId="809">D</e>
                                  <b key="isAdHocParameter">N</b>
                                  <b key="netClient">S</b>
                                  <cust key="oid" clsId="DimensionOid">415A495F3130-45-24415A495F31305F50--50-</cust>
                                  <be key="multiDescVO" clsId="MultiDesc" refId="810">
                                    <a key="desc" refId="811" ln="4" eid="SYS_STR">
                                      <nl/>
                                      <s>Regional View</s>
                                      <nl/>
                                      <nl/>
                                    </a>
                                  </be>
                                  <b key="mandatory">N</b>
                                  <s key="codDimensione">AZI</s>
                                  <s key="codGerarchia">10</s>
                                  <s key="code">$AZI_10_P</s>
                                  <b key="allowsAuto">S</b>
                                  <b key="sistema">S</b>
                                  <b key="automatico">S</b>
                                  <b key="limParametro">N</b>
                                  <b key="allowsList">S</b>
                                  <b key="allowsLeafs">S</b>
                                  <b key="allowsNodes">S</b>
                                </be>
                                <be clsId="ProspParametroDim" refId="812">
                                  <ref key="tipoDinamicita" refId="732"/>
                                  <ref key="autoValorizzaSeOmesso" refId="806"/>
                                  <b key="allowsCellField">S</b>
                                  <b key="allowsExplicit">S</b>
                                  <b key="dependent">N</b>
                                  <a key="allowedOids" refId="813" ln="6" eid="DimensionOid">
                                    <cust clsId="DimensionOid">534345-45-32303133414354---</cust>
                                    <cust clsId="DimensionOid">534345-45-32303134414354---</cust>
                                    <cust clsId="DimensionOid">534345-45-32303134424447---</cust>
                                    <cust clsId="DimensionOid">534345-45-323031344244475631---</cust>
                                    <cust clsId="DimensionOid">534345-45-323031344244475632---</cust>
                                    <cust clsId="DimensionOid">534345-45-323031344244475F3030---</cust>
                                  </a>
                                  <set key="oidValori" ln="0" refId="814"/>
                                  <b key="limProcessoDisabilitata">N</b>
                                  <ref key="allowOr" refId="809"/>
                                  <b key="isAdHocParameter">N</b>
                                  <b key="netClient">N</b>
                                  <cust key="oid" clsId="DimensionOid">534345-45-5350424447--50-</cust>
                                  <be key="multiDescVO" clsId="MultiDesc" refId="815">
                                    <a key="desc" refId="816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  <b key="mandatory">S</b>
                                  <s key="codDimensione">SCE</s>
                                  <s key="code">SPBDG</s>
                                  <b key="allowsAuto">S</b>
                                  <b key="sistema">N</b>
                                  <b key="automatico">N</b>
                                  <b key="limParametro">S</b>
                                  <b key="allowsList">S</b>
                                  <b key="allowsLeafs">S</b>
                                  <s key="descLunga0">Scenario  Parametrico Budget</s>
                                  <b key="allowsNodes">S</b>
                                  <s key="descLunga1">Parametric Budget Scenario</s>
                                </be>
                              </l>
                              <m key="SystemVisibilities" refId="817">
                                <key>
                                  <s>415A495F3130-45-24415A495F31305F50--50-</s>
                                </key>
                                <value>
                                  <be clsId="ParameterValuesVisibilities" refId="818">
                                    <b key="allValues">S</b>
                                    <set key="showOids" ln="0" refId="819"/>
                                  </be>
                                </value>
                                <key>
                                  <s>534345-45-5350424447--50-</s>
                                </key>
                                <value>
                                  <be clsId="ParameterValuesVisibilities" refId="820">
                                    <b key="allValues">N</b>
                                    <set key="showOids" ln="6" refId="821">
                                      <cust clsId="DimensionOid">534345-45-32303133414354---</cust>
                                      <cust clsId="DimensionOid">534345-45-323031344244475F3030---</cust>
                                      <cust clsId="DimensionOid">534345-45-323031344244475631---</cust>
                                      <cust clsId="DimensionOid">534345-45-32303134424447---</cust>
                                      <cust clsId="DimensionOid">534345-45-323031344244475632---</cust>
                                      <cust clsId="DimensionOid">534345-45-32303134414354---</cust>
                                    </set>
                                  </be>
                                </value>
                              </m>
                            </be>
                            <m key="SystemParametersValues" refId="822">
                              <key>
                                <s>415A495F3130-45-24415A495F31305F50--50-</s>
                              </key>
                              <value>
                                <be clsId="StringParameterValue" refId="823">
                                  <s key="Value">${AUTO}</s>
                                  <ref key="ParamSetType" refId="746"/>
                                </be>
                              </value>
                              <key>
                                <s>534345-45-5350424447--50-</s>
                              </key>
                              <value>
                                <be clsId="StringParameterValue" refId="824">
                                  <s key="Value">${AUTO}</s>
                                  <ref key="ParamSetType" refId="746"/>
                                </be>
                              </value>
                            </m>
                          </be>
                          <b key="inheritProcessCode">S</b>
                          <ref key="openTargetMode" refId="568"/>
                        </be>
                        <b key="leaf">N</b>
                        <s key="actionDescriptorCode">OPEN</s>
                      </be>
                    </l>
                    <be key="parameters" clsId="ActionListParameters" refId="825">
                      <be key="desc" clsId="MultiDesc" refId="826">
                        <a key="desc" refId="827" ln="4" eid="SYS_STR">
                          <s>Hyperlink02</s>
                          <s>Hyperlink02</s>
                          <s>Hyperlink02</s>
                          <s>Hyperlink02</s>
                        </a>
                      </be>
                      <s key="cod">Hyperlink02</s>
                    </be>
                    <b key="leaf">N</b>
                    <s key="actionDescriptorCode">AL</s>
                  </be>
                </be>
              </value>
            </m>
            <l key="areas" ln="0" refId="828"/>
            <m key="queries" refId="829"/>
          </be>
        </value>
      </m>
      <be key="reportFilters" clsId="FilterNode" refId="830">
        <l key="AdHocParamDimensionOids" ln="0" refId="831"/>
        <cust key="id" clsId="FilterOid">1</cust>
        <i key="index">0</i>
        <be key="data" clsId="FilterNodeData" refId="832">
          <b key="breakLevelSubtotal">N</b>
          <ref key="weight" refId="86"/>
          <ref key="segment" refId="87"/>
          <ref key="change" refId="88"/>
          <b key="prevailingDataType">N</b>
          <ref key="filterNode" refId="830"/>
          <i key="segmentLevel">0</i>
          <b key="signChange">N</b>
          <b key="complementary">N</b>
          <b key="applyFiltersForForcedScenarioPeriodoMap">N</b>
          <b key="lineSplit">N</b>
          <b key="addRCRow">N</b>
          <ref key="editability" refId="92"/>
          <b key="nativeSignChange">N</b>
          <b key="placeHolder">N</b>
          <ref key="dataType" refId="93"/>
          <i key="sco">0</i>
        </be>
        <l key="children" ln="1" refId="833">
          <be clsId="FilterNode" refId="834">
            <l key="AdHocParamDimensionOids" ln="0" refId="835"/>
            <cust key="id" clsId="FilterOid">2</cust>
            <i key="index">0</i>
            <s key="desc"/>
            <s key="cod"/>
            <be key="data" clsId="FilterNodeData" refId="836">
              <b key="breakLevelSubtotal">N</b>
              <ref key="weight" refId="86"/>
              <ref key="segment" refId="119"/>
              <ref key="change" refId="120"/>
              <b key="prevailingDataType">N</b>
              <s key="dim">DEST2_01</s>
              <ref key="filterNode" refId="834"/>
              <i key="segmentLevel">0</i>
              <b key="signChange">N</b>
              <b key="complementary">N</b>
              <s key="adHocStyleSheetId"/>
              <b key="applyFiltersForForcedScenarioPeriodoMap">N</b>
              <b key="lineSplit">N</b>
              <b key="addRCRow">N</b>
              <ref key="editability" refId="92"/>
              <b key="nativeSignChange">N</b>
              <b key="placeHolder">N</b>
              <ref key="dataType" refId="93"/>
              <l key="nav" ln="0" refId="837"/>
              <i key="sco">0</i>
            </be>
            <ref key="parent" refId="830"/>
            <l key="children" ln="1" refId="838">
              <be clsId="FilterNode" refId="839">
                <l key="AdHocParamDimensionOids" ln="0" refId="840"/>
                <cust key="id" clsId="FilterOid">3</cust>
                <i key="index">0</i>
                <s key="desc"/>
                <s key="cod"/>
                <be key="data" clsId="FilterNodeData" refId="841">
                  <b key="breakLevelSubtotal">N</b>
                  <ref key="weight" refId="86"/>
                  <ref key="segment" refId="119"/>
                  <ref key="change" refId="120"/>
                  <b key="prevailingDataType">N</b>
                  <s key="dim">AZI_10</s>
                  <ref key="filterNode" refId="839"/>
                  <i key="segmentLevel">0</i>
                  <b key="signChange">N</b>
                  <b key="complementary">N</b>
                  <s key="adHocStyleSheetId"/>
                  <b key="applyFiltersForForcedScenarioPeriodoMap">N</b>
                  <b key="lineSplit">N</b>
                  <b key="addRCRow">N</b>
                  <ref key="editability" refId="92"/>
                  <b key="nativeSignChange">N</b>
                  <b key="placeHolder">N</b>
                  <ref key="dataType" refId="93"/>
                  <l key="nav" ln="0" refId="842"/>
                  <i key="sco">0</i>
                </be>
                <ref key="parent" refId="834"/>
                <l key="children" ln="0" refId="843"/>
                <b key="leaf">N</b>
                <l key="dimensionOids" ln="1" refId="844">
                  <cust clsId="DimensionOid">415A495F3130-45-24415A495F31305F50--50-</cust>
                </l>
              </be>
            </l>
            <b key="leaf">N</b>
            <l key="dimensionOids" ln="1" refId="845">
              <cust clsId="DimensionOid">44455354325F3031-45-2444455354325F30315F50--50-</cust>
            </l>
          </be>
        </l>
        <b key="leaf">N</b>
        <l key="dimensionOids" ln="0" refId="846"/>
      </be>
      <be key="dashboardData" clsId="DashboardMultiTemplateData" refId="847"/>
      <s key="vbaReportCode">PRD12</s>
      <s key="code">B110_100</s>
      <l key="parametersToBeRequested" ln="3" refId="848">
        <be clsId="ParameterInfo" refId="849">
          <cust key="oid" clsId="DimensionOid">44455354325F3031-45-2444455354325F30315F50--50-</cust>
          <b key="advanced">N</b>
          <b key="explicitlyUsed">S</b>
          <b key="forced">N</b>
        </be>
        <be clsId="ParameterInfo" refId="850">
          <cust key="oid" clsId="DimensionOid">415A495F3130-45-24415A495F31305F50--50-</cust>
          <b key="advanced">N</b>
          <b key="explicitlyUsed">S</b>
          <b key="forced">N</b>
        </be>
        <be clsId="ParameterInfo" refId="851">
          <cust key="oid" clsId="DimensionOid">534345-45-5350424447--50-</cust>
          <b key="advanced">N</b>
          <b key="explicitlyUsed">S</b>
          <b key="forced">N</b>
        </be>
      </l>
      <be key="options" clsId="OpzioniProspetto" refId="852">
        <i key="colorEditRGB">13434879</i>
        <b key="eventsWithUnlockedSheets">N</b>
        <e key="validateTransactional" id="ValidateTransactionalEnum" refId="853">C</e>
        <i key="colorProtectedRGB">16777164</i>
        <i key="saveType">2</i>
        <e key="parallelizeWhat" id="ParallWhatEnum" refId="854">MQ</e>
        <i key="elabType">2</i>
        <b key="sheetNamesWithCode">N</b>
        <i key="colorIRGB">13434879</i>
        <b key="enableDrillDown">S</b>
        <s key="styleSheetCode">TGK_01</s>
        <b key="dezerorcs">N</b>
        <b key="drillOnlyOnUsedDims">N</b>
        <b key="refreshAfterSave">N</b>
        <b key="forceExportReport">N</b>
        <b key="lockSheets">N</b>
        <e key="includeTemplateInSheetName" id="IncludeTemplateInSheetNameEnum" refId="855">0</e>
        <b key="closeFormOnSave">N</b>
        <e key="parallelDegree" id="ParallelDegreeEnum" refId="856">D</e>
        <b key="disableTGKFunctions">N</b>
        <u key="expControlloThreshold">1.0E-9</u>
        <i key="runElabType">2</i>
        <s key="separator">,</s>
      </be>
    </be>
  </data>
</easyPacket>
</file>

<file path=customXml/itemProps1.xml><?xml version="1.0" encoding="utf-8"?>
<ds:datastoreItem xmlns:ds="http://schemas.openxmlformats.org/officeDocument/2006/customXml" ds:itemID="{ABF5E5BD-205A-4062-8BA8-C930D6071B8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Quantity</vt:lpstr>
      <vt:lpstr>Unit Price &amp; Cost</vt:lpstr>
    </vt:vector>
  </TitlesOfParts>
  <Company>Tagetik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2008-10-16T13:51:24Z</dcterms:created>
  <dc:creator>Kevin Gray</dc:creator>
  <lastModifiedBy>Nicola Rugani</lastModifiedBy>
  <dcterms:modified xsi:type="dcterms:W3CDTF">2014-07-21T15:17:47Z</dcterms:modified>
</coreProperties>
</file>

<file path=docProps/custom.xml><?xml version="1.0" encoding="utf-8"?>
<Properties xmlns="http://schemas.openxmlformats.org/officeDocument/2006/custom-properties" xmlns:vt="http://schemas.openxmlformats.org/officeDocument/2006/docPropsVTypes"/>
</file>